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autoCompressPictures="0" defaultThemeVersion="124226"/>
  <mc:AlternateContent xmlns:mc="http://schemas.openxmlformats.org/markup-compatibility/2006">
    <mc:Choice Requires="x15">
      <x15ac:absPath xmlns:x15ac="http://schemas.microsoft.com/office/spreadsheetml/2010/11/ac" url="G:\OSI\Procurement\Contracts\Contracts - OSI\OSI FY 16-17 Contracts\32051 CWS-NS CALS RFO\RFO Released 2016-09-16\"/>
    </mc:Choice>
  </mc:AlternateContent>
  <bookViews>
    <workbookView xWindow="0" yWindow="0" windowWidth="12270" windowHeight="6930" tabRatio="872"/>
  </bookViews>
  <sheets>
    <sheet name="Staff Cost Worksheet II-La" sheetId="101" r:id="rId1"/>
  </sheets>
  <calcPr calcId="152511"/>
</workbook>
</file>

<file path=xl/calcChain.xml><?xml version="1.0" encoding="utf-8"?>
<calcChain xmlns="http://schemas.openxmlformats.org/spreadsheetml/2006/main">
  <c r="J22" i="101" l="1"/>
  <c r="J23" i="101"/>
  <c r="J24" i="101"/>
  <c r="A25" i="101"/>
  <c r="J25" i="101"/>
  <c r="A26" i="101"/>
  <c r="J26" i="101"/>
  <c r="J27" i="101"/>
  <c r="J28" i="101"/>
  <c r="J30" i="101"/>
  <c r="J29" i="101"/>
  <c r="A29" i="101"/>
  <c r="A30" i="101"/>
  <c r="J31" i="101"/>
  <c r="J33" i="101"/>
</calcChain>
</file>

<file path=xl/sharedStrings.xml><?xml version="1.0" encoding="utf-8"?>
<sst xmlns="http://schemas.openxmlformats.org/spreadsheetml/2006/main" count="62" uniqueCount="38">
  <si>
    <t>INSTRUCTIONS</t>
  </si>
  <si>
    <t>Vendor/ Contractor Name:</t>
  </si>
  <si>
    <t>Proposed Staff's Name</t>
  </si>
  <si>
    <t>Proposed Staff's Role:
(Lead Tester, Technical Tester, or Tester)</t>
  </si>
  <si>
    <t>CMAS Classification</t>
  </si>
  <si>
    <t>Hourly Rate (Remains the same for entire Agreement term)</t>
  </si>
  <si>
    <t>$</t>
  </si>
  <si>
    <t>First Period Subtotals
(Multiply the Hourly Rate by the Number of Hours)</t>
  </si>
  <si>
    <t>Travel Costs
The Agreement resulting from this RFO allows for travel costs, reimbursement for the Contractor’s personnel for travel, per diem, lodging, etc. shall  be made in accordance with the provisions established by the California Department of Human Resources (CalHR), including Title 2 California Code of Regulations section 599.619, and applicable CalHR policy memos, including but not limited to PML 2013-026 (available at: http://www.calhr.ca.gov/PML%20Library/2013026.pdf), as it applies to excluded employees and limited to actual costs incurred. The State Contract Manager shall approve all travel in advance.</t>
  </si>
  <si>
    <t xml:space="preserve">Product Manager </t>
  </si>
  <si>
    <t>Delivery Manager</t>
  </si>
  <si>
    <t>Interaction Designer(s)/ 
User Researcher(s)/ Usability Tester(s)</t>
  </si>
  <si>
    <t>Frontend Web Developer</t>
  </si>
  <si>
    <t>Tasks/Deliverables - Subtotal Cost:</t>
  </si>
  <si>
    <t>Travel Costs:</t>
  </si>
  <si>
    <t>First 3 Months of Services (Add Subtotal Cost + Travel Costs) TOTAL COST:</t>
  </si>
  <si>
    <t>Lead Frontend Web Developer</t>
  </si>
  <si>
    <t>Period</t>
  </si>
  <si>
    <t>Base Period</t>
  </si>
  <si>
    <t>Option 1</t>
  </si>
  <si>
    <t>Option 2</t>
  </si>
  <si>
    <t>Option 3</t>
  </si>
  <si>
    <t>Option 4</t>
  </si>
  <si>
    <t>Option 5</t>
  </si>
  <si>
    <t>Option 6</t>
  </si>
  <si>
    <t>Option 7</t>
  </si>
  <si>
    <t>Option 8</t>
  </si>
  <si>
    <t># of Weeks/
Period</t>
  </si>
  <si>
    <t># of Sprints</t>
  </si>
  <si>
    <t># of Weekly Labor Hours/Staff</t>
  </si>
  <si>
    <t>Product Manager Weekly Labor Hours</t>
  </si>
  <si>
    <t xml:space="preserve">Table 1 contains the State's assumptions for calculating labor costs.
</t>
  </si>
  <si>
    <t>TABLE 1 STATE'S ASSUMPTIONS</t>
  </si>
  <si>
    <t xml:space="preserve">Complete the Cost Worksheet by filling in the yellow-fields; provide the hourly rate, number of hours and costs for each of the proposed Staff's Role for the initial three (3) months engagement of services as stated in Section III, SOW. Should the State require additional services, and exercise one or all eight of its eight (8) optional three (3) month extensions, the hourly rates provided in the Cost Worksheet shall extend to the work performed and contracted in the future years. (Hourly rates will not be adjusted and are required to remain at the same rate throughout the original term and through any optional period of service for any agreement resulting from this RFO.) No more than nine (9) individuals shall be proposed for the nine (9) identified roles. </t>
  </si>
  <si>
    <t>Number of Hours (Original Engagement: 3 Months)</t>
  </si>
  <si>
    <t>The Core Term of an agreement resulting from this RFO (Agreement) shall not exceed $998,820.00. Should the State exercise eight optional three (3) month extensions (shall not exceed $937,422.00 per extension), the total Agreement cost shall not exceed $8,498,196.00 dollars (core term + optional terms).</t>
  </si>
  <si>
    <r>
      <t xml:space="preserve">Subcontracted Staff Person? </t>
    </r>
    <r>
      <rPr>
        <b/>
        <i/>
        <sz val="8"/>
        <rFont val="Arial Narrow"/>
        <family val="2"/>
      </rPr>
      <t>(Yes or No)</t>
    </r>
  </si>
  <si>
    <t>The hours given in this RFO are for offer comparison purposes only and total hours are not a guarantee of hours to be worked under this contract. Upon award, the final hours and contract amount will be determined based on the contract budget and the hourly rate(s) for the staff person proposed by the Offeror.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</si>
</sst>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43" formatCode="_(* #,##0.00_);_(* \(#,##0.00\);_(* &quot;-&quot;??_);_(@_)"/>
  </numFmts>
  <fonts count="1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u/>
      <sz val="10"/>
      <color theme="10"/>
      <name val="Arial"/>
      <family val="2"/>
    </font>
    <font>
      <u/>
      <sz val="10"/>
      <color theme="11"/>
      <name val="Arial"/>
      <family val="2"/>
    </font>
    <font>
      <b/>
      <sz val="10"/>
      <color rgb="FFFF0000"/>
      <name val="Arial Narrow"/>
      <family val="2"/>
    </font>
    <font>
      <sz val="10"/>
      <name val="Arial Narrow"/>
      <family val="2"/>
    </font>
    <font>
      <sz val="10"/>
      <color rgb="FFFF0000"/>
      <name val="Arial"/>
      <family val="2"/>
    </font>
    <font>
      <sz val="8"/>
      <name val="Arial"/>
      <family val="2"/>
    </font>
    <font>
      <b/>
      <sz val="10"/>
      <name val="Arial Narrow"/>
      <family val="2"/>
    </font>
    <font>
      <b/>
      <i/>
      <sz val="8"/>
      <name val="Arial Narrow"/>
      <family val="2"/>
    </font>
  </fonts>
  <fills count="7">
    <fill>
      <patternFill patternType="none"/>
    </fill>
    <fill>
      <patternFill patternType="gray125"/>
    </fill>
    <fill>
      <patternFill patternType="solid">
        <fgColor theme="0" tint="-0.249977111117893"/>
        <bgColor indexed="64"/>
      </patternFill>
    </fill>
    <fill>
      <patternFill patternType="solid">
        <fgColor rgb="FFBFBFBF"/>
        <bgColor indexed="64"/>
      </patternFill>
    </fill>
    <fill>
      <patternFill patternType="solid">
        <fgColor theme="0" tint="-0.34998626667073579"/>
        <bgColor indexed="64"/>
      </patternFill>
    </fill>
    <fill>
      <patternFill patternType="solid">
        <fgColor rgb="FFFFFFCC"/>
        <bgColor indexed="64"/>
      </patternFill>
    </fill>
    <fill>
      <patternFill patternType="solid">
        <fgColor rgb="FFFFFFFF"/>
        <bgColor indexed="64"/>
      </patternFill>
    </fill>
  </fills>
  <borders count="47">
    <border>
      <left/>
      <right/>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right style="thick">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bottom style="medium">
        <color auto="1"/>
      </bottom>
      <diagonal/>
    </border>
    <border>
      <left/>
      <right/>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thick">
        <color auto="1"/>
      </left>
      <right/>
      <top style="medium">
        <color auto="1"/>
      </top>
      <bottom/>
      <diagonal/>
    </border>
    <border>
      <left/>
      <right style="medium">
        <color auto="1"/>
      </right>
      <top style="medium">
        <color auto="1"/>
      </top>
      <bottom style="thin">
        <color auto="1"/>
      </bottom>
      <diagonal/>
    </border>
    <border>
      <left/>
      <right/>
      <top style="medium">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medium">
        <color auto="1"/>
      </top>
      <bottom/>
      <diagonal/>
    </border>
    <border>
      <left style="thin">
        <color auto="1"/>
      </left>
      <right/>
      <top style="medium">
        <color auto="1"/>
      </top>
      <bottom style="thin">
        <color auto="1"/>
      </bottom>
      <diagonal/>
    </border>
    <border>
      <left/>
      <right style="thin">
        <color auto="1"/>
      </right>
      <top style="thin">
        <color auto="1"/>
      </top>
      <bottom/>
      <diagonal/>
    </border>
    <border>
      <left style="medium">
        <color auto="1"/>
      </left>
      <right style="thin">
        <color auto="1"/>
      </right>
      <top/>
      <bottom/>
      <diagonal/>
    </border>
    <border>
      <left style="thin">
        <color auto="1"/>
      </left>
      <right style="thin">
        <color auto="1"/>
      </right>
      <top/>
      <bottom/>
      <diagonal/>
    </border>
    <border>
      <left/>
      <right style="thin">
        <color auto="1"/>
      </right>
      <top/>
      <bottom/>
      <diagonal/>
    </border>
    <border>
      <left/>
      <right style="thin">
        <color auto="1"/>
      </right>
      <top/>
      <bottom style="thin">
        <color auto="1"/>
      </bottom>
      <diagonal/>
    </border>
    <border>
      <left/>
      <right style="thin">
        <color auto="1"/>
      </right>
      <top/>
      <bottom style="medium">
        <color auto="1"/>
      </bottom>
      <diagonal/>
    </border>
    <border>
      <left style="medium">
        <color auto="1"/>
      </left>
      <right/>
      <top style="thin">
        <color auto="1"/>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medium">
        <color auto="1"/>
      </top>
      <bottom style="medium">
        <color indexed="64"/>
      </bottom>
      <diagonal/>
    </border>
    <border>
      <left/>
      <right/>
      <top style="thin">
        <color auto="1"/>
      </top>
      <bottom style="medium">
        <color indexed="64"/>
      </bottom>
      <diagonal/>
    </border>
    <border>
      <left style="thin">
        <color auto="1"/>
      </left>
      <right/>
      <top/>
      <bottom style="medium">
        <color indexed="64"/>
      </bottom>
      <diagonal/>
    </border>
    <border>
      <left/>
      <right/>
      <top style="thin">
        <color auto="1"/>
      </top>
      <bottom/>
      <diagonal/>
    </border>
    <border>
      <left style="thin">
        <color auto="1"/>
      </left>
      <right/>
      <top/>
      <bottom/>
      <diagonal/>
    </border>
    <border>
      <left style="thin">
        <color auto="1"/>
      </left>
      <right/>
      <top style="thin">
        <color auto="1"/>
      </top>
      <bottom/>
      <diagonal/>
    </border>
  </borders>
  <cellStyleXfs count="639">
    <xf numFmtId="0" fontId="0" fillId="0" borderId="0"/>
    <xf numFmtId="43" fontId="6" fillId="0" borderId="0" applyFont="0" applyFill="0" applyBorder="0" applyAlignment="0" applyProtection="0"/>
    <xf numFmtId="0" fontId="6" fillId="0" borderId="0"/>
    <xf numFmtId="44" fontId="6" fillId="0" borderId="0" applyFont="0" applyFill="0" applyBorder="0" applyAlignment="0" applyProtection="0"/>
    <xf numFmtId="9" fontId="6"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4" fillId="0" borderId="0"/>
    <xf numFmtId="9" fontId="4"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3" fillId="0" borderId="0"/>
    <xf numFmtId="9" fontId="3"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xf numFmtId="9"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xf numFmtId="9"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 fillId="0" borderId="0"/>
    <xf numFmtId="9" fontId="1"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 fillId="0" borderId="0"/>
    <xf numFmtId="9" fontId="1"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 fillId="0" borderId="0"/>
    <xf numFmtId="9" fontId="1"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 fillId="0" borderId="0"/>
    <xf numFmtId="9" fontId="1"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 fillId="0" borderId="0"/>
    <xf numFmtId="9" fontId="1"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 fillId="0" borderId="0"/>
    <xf numFmtId="9" fontId="1"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 fillId="0" borderId="0"/>
    <xf numFmtId="9" fontId="1"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 fillId="0" borderId="0"/>
    <xf numFmtId="9" fontId="1"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79">
    <xf numFmtId="0" fontId="0" fillId="0" borderId="0" xfId="0"/>
    <xf numFmtId="0" fontId="6" fillId="0" borderId="0" xfId="0" applyFont="1" applyBorder="1" applyAlignment="1" applyProtection="1">
      <alignment wrapText="1"/>
      <protection locked="0"/>
    </xf>
    <xf numFmtId="0" fontId="0" fillId="5" borderId="15" xfId="0" applyFill="1" applyBorder="1"/>
    <xf numFmtId="0" fontId="0" fillId="5" borderId="2" xfId="0" applyFill="1" applyBorder="1"/>
    <xf numFmtId="0" fontId="0" fillId="5" borderId="20" xfId="0" applyFill="1" applyBorder="1"/>
    <xf numFmtId="0" fontId="0" fillId="5" borderId="16" xfId="0" applyFill="1" applyBorder="1"/>
    <xf numFmtId="0" fontId="0" fillId="5" borderId="18" xfId="0" applyFill="1" applyBorder="1"/>
    <xf numFmtId="0" fontId="0" fillId="5" borderId="23" xfId="0" applyFill="1" applyBorder="1"/>
    <xf numFmtId="0" fontId="0" fillId="5" borderId="1" xfId="0" applyFill="1" applyBorder="1"/>
    <xf numFmtId="0" fontId="0" fillId="5" borderId="24" xfId="0" applyFill="1" applyBorder="1"/>
    <xf numFmtId="0" fontId="11" fillId="0" borderId="27" xfId="0" applyFont="1" applyFill="1" applyBorder="1" applyAlignment="1">
      <alignment horizontal="center"/>
    </xf>
    <xf numFmtId="0" fontId="11" fillId="0" borderId="3" xfId="0" applyFont="1" applyFill="1" applyBorder="1" applyAlignment="1">
      <alignment horizontal="center"/>
    </xf>
    <xf numFmtId="0" fontId="11" fillId="0" borderId="22" xfId="0" applyFont="1" applyFill="1" applyBorder="1" applyAlignment="1">
      <alignment horizontal="center"/>
    </xf>
    <xf numFmtId="0" fontId="11" fillId="0" borderId="14" xfId="0" applyFont="1" applyBorder="1" applyAlignment="1">
      <alignment horizontal="center"/>
    </xf>
    <xf numFmtId="0" fontId="11" fillId="0" borderId="17" xfId="0" applyFont="1" applyBorder="1" applyAlignment="1">
      <alignment horizontal="center"/>
    </xf>
    <xf numFmtId="0" fontId="11" fillId="0" borderId="19" xfId="0" applyFont="1" applyBorder="1" applyAlignment="1">
      <alignment horizontal="center"/>
    </xf>
    <xf numFmtId="0" fontId="11" fillId="0" borderId="9" xfId="0" applyFont="1" applyFill="1" applyBorder="1" applyAlignment="1">
      <alignment horizontal="center"/>
    </xf>
    <xf numFmtId="0" fontId="11" fillId="0" borderId="21" xfId="0" applyFont="1" applyFill="1" applyBorder="1" applyAlignment="1">
      <alignment horizontal="center"/>
    </xf>
    <xf numFmtId="0" fontId="6" fillId="0" borderId="0" xfId="0" applyFont="1" applyAlignment="1">
      <alignment vertical="center" wrapText="1"/>
    </xf>
    <xf numFmtId="0" fontId="6" fillId="0" borderId="15" xfId="0" applyFont="1" applyBorder="1" applyAlignment="1">
      <alignment horizontal="center" wrapText="1"/>
    </xf>
    <xf numFmtId="4" fontId="11" fillId="5" borderId="8" xfId="0" applyNumberFormat="1" applyFont="1" applyFill="1" applyBorder="1"/>
    <xf numFmtId="4" fontId="11" fillId="5" borderId="23" xfId="0" applyNumberFormat="1" applyFont="1" applyFill="1" applyBorder="1"/>
    <xf numFmtId="4" fontId="11" fillId="5" borderId="1" xfId="0" applyNumberFormat="1" applyFont="1" applyFill="1" applyBorder="1"/>
    <xf numFmtId="0" fontId="11" fillId="0" borderId="28" xfId="0" applyFont="1" applyFill="1" applyBorder="1" applyAlignment="1">
      <alignment horizontal="center"/>
    </xf>
    <xf numFmtId="4" fontId="11" fillId="5" borderId="26" xfId="0" applyNumberFormat="1" applyFont="1" applyFill="1" applyBorder="1"/>
    <xf numFmtId="0" fontId="11" fillId="0" borderId="29" xfId="0" applyFont="1" applyFill="1" applyBorder="1" applyAlignment="1">
      <alignment horizontal="center"/>
    </xf>
    <xf numFmtId="0" fontId="0" fillId="5" borderId="31" xfId="0" applyFill="1" applyBorder="1"/>
    <xf numFmtId="0" fontId="6" fillId="0" borderId="0" xfId="0" applyFont="1" applyAlignment="1">
      <alignment vertical="center" wrapText="1"/>
    </xf>
    <xf numFmtId="0" fontId="0" fillId="0" borderId="0" xfId="0" applyAlignment="1">
      <alignment vertical="center" wrapText="1"/>
    </xf>
    <xf numFmtId="0" fontId="11" fillId="0" borderId="33" xfId="0" applyFont="1" applyBorder="1" applyAlignment="1">
      <alignment horizontal="center"/>
    </xf>
    <xf numFmtId="0" fontId="0" fillId="5" borderId="34" xfId="0" applyFill="1" applyBorder="1"/>
    <xf numFmtId="0" fontId="0" fillId="5" borderId="35" xfId="0" applyFill="1" applyBorder="1"/>
    <xf numFmtId="4" fontId="11" fillId="5" borderId="24" xfId="0" applyNumberFormat="1" applyFont="1" applyFill="1" applyBorder="1"/>
    <xf numFmtId="4" fontId="11" fillId="5" borderId="37" xfId="0" applyNumberFormat="1" applyFont="1" applyFill="1" applyBorder="1"/>
    <xf numFmtId="0" fontId="11" fillId="0" borderId="38" xfId="0" applyFont="1" applyFill="1" applyBorder="1" applyAlignment="1">
      <alignment horizontal="center"/>
    </xf>
    <xf numFmtId="0" fontId="6" fillId="0" borderId="39" xfId="0" applyFont="1" applyBorder="1" applyAlignment="1">
      <alignment horizontal="center" wrapText="1"/>
    </xf>
    <xf numFmtId="0" fontId="0" fillId="5" borderId="40" xfId="0" applyFill="1" applyBorder="1"/>
    <xf numFmtId="0" fontId="6" fillId="0" borderId="41" xfId="0" applyFont="1" applyBorder="1" applyAlignment="1">
      <alignment horizontal="center" wrapText="1"/>
    </xf>
    <xf numFmtId="0" fontId="11" fillId="0" borderId="42" xfId="0" applyFont="1" applyFill="1" applyBorder="1" applyAlignment="1">
      <alignment horizontal="center"/>
    </xf>
    <xf numFmtId="0" fontId="0" fillId="5" borderId="43" xfId="0" applyFill="1" applyBorder="1"/>
    <xf numFmtId="0" fontId="5" fillId="2" borderId="6" xfId="2" applyFont="1" applyFill="1" applyBorder="1" applyAlignment="1" applyProtection="1">
      <alignment horizontal="center" vertical="center" wrapText="1"/>
    </xf>
    <xf numFmtId="0" fontId="6" fillId="6" borderId="46" xfId="2" applyFont="1" applyFill="1" applyBorder="1" applyAlignment="1" applyProtection="1">
      <alignment horizontal="left" vertical="center"/>
    </xf>
    <xf numFmtId="0" fontId="6" fillId="6" borderId="45" xfId="2" applyFont="1" applyFill="1" applyBorder="1" applyAlignment="1" applyProtection="1">
      <alignment horizontal="left" vertical="center"/>
    </xf>
    <xf numFmtId="0" fontId="6" fillId="6" borderId="45" xfId="2" applyFont="1" applyFill="1" applyBorder="1" applyAlignment="1" applyProtection="1">
      <alignment horizontal="left" vertical="center" wrapText="1"/>
    </xf>
    <xf numFmtId="0" fontId="6" fillId="6" borderId="40" xfId="2" applyFont="1" applyFill="1" applyBorder="1" applyAlignment="1" applyProtection="1">
      <alignment horizontal="left" vertical="center"/>
    </xf>
    <xf numFmtId="0" fontId="0" fillId="6" borderId="6" xfId="0" applyFill="1" applyBorder="1" applyAlignment="1">
      <alignment horizontal="center" vertical="center" wrapText="1"/>
    </xf>
    <xf numFmtId="0" fontId="0" fillId="6" borderId="34" xfId="0" applyFill="1" applyBorder="1" applyAlignment="1">
      <alignment horizontal="center" vertical="center" wrapText="1"/>
    </xf>
    <xf numFmtId="0" fontId="0" fillId="6" borderId="39" xfId="0" applyFill="1" applyBorder="1" applyAlignment="1">
      <alignment horizontal="center" vertical="center" wrapText="1"/>
    </xf>
    <xf numFmtId="0" fontId="0" fillId="0" borderId="0" xfId="0" applyAlignment="1">
      <alignment vertical="center" wrapText="1"/>
    </xf>
    <xf numFmtId="0" fontId="6" fillId="0" borderId="0" xfId="0" applyFont="1" applyAlignment="1">
      <alignment vertical="center" wrapText="1"/>
    </xf>
    <xf numFmtId="0" fontId="13" fillId="4" borderId="12" xfId="0" applyFont="1" applyFill="1" applyBorder="1" applyAlignment="1">
      <alignment horizontal="center" vertical="center" wrapText="1"/>
    </xf>
    <xf numFmtId="0" fontId="13" fillId="3" borderId="13" xfId="0" applyFont="1" applyFill="1" applyBorder="1" applyAlignment="1">
      <alignment horizontal="center" vertical="center" wrapText="1"/>
    </xf>
    <xf numFmtId="0" fontId="13" fillId="3" borderId="25" xfId="0" applyFont="1" applyFill="1" applyBorder="1" applyAlignment="1">
      <alignment horizontal="center" vertical="center" wrapText="1"/>
    </xf>
    <xf numFmtId="0" fontId="13" fillId="3" borderId="30" xfId="0" applyFont="1" applyFill="1" applyBorder="1" applyAlignment="1">
      <alignment horizontal="center" vertical="center" wrapText="1"/>
    </xf>
    <xf numFmtId="0" fontId="6" fillId="0" borderId="0" xfId="0" applyFont="1" applyAlignment="1">
      <alignment vertical="center" wrapText="1"/>
    </xf>
    <xf numFmtId="0" fontId="0" fillId="0" borderId="0" xfId="0" applyAlignment="1">
      <alignment vertical="center" wrapText="1"/>
    </xf>
    <xf numFmtId="0" fontId="0" fillId="6" borderId="0" xfId="0" applyFill="1" applyBorder="1" applyAlignment="1">
      <alignment horizontal="center" vertical="center" wrapText="1"/>
    </xf>
    <xf numFmtId="0" fontId="0" fillId="6" borderId="35" xfId="0" applyFill="1" applyBorder="1" applyAlignment="1">
      <alignment horizontal="center" vertical="center" wrapText="1"/>
    </xf>
    <xf numFmtId="0" fontId="0" fillId="6" borderId="5" xfId="0" applyFill="1" applyBorder="1" applyAlignment="1">
      <alignment horizontal="center" vertical="center" wrapText="1"/>
    </xf>
    <xf numFmtId="0" fontId="0" fillId="6" borderId="36" xfId="0" applyFill="1" applyBorder="1" applyAlignment="1">
      <alignment horizontal="center" vertical="center" wrapText="1"/>
    </xf>
    <xf numFmtId="0" fontId="5" fillId="0" borderId="0" xfId="0" applyFont="1" applyBorder="1" applyAlignment="1" applyProtection="1">
      <alignment wrapText="1"/>
      <protection locked="0"/>
    </xf>
    <xf numFmtId="0" fontId="0" fillId="0" borderId="0" xfId="0" applyAlignment="1">
      <alignment wrapText="1"/>
    </xf>
    <xf numFmtId="0" fontId="9" fillId="0" borderId="9" xfId="0" applyFont="1" applyBorder="1" applyAlignment="1">
      <alignment horizontal="right"/>
    </xf>
    <xf numFmtId="0" fontId="10" fillId="0" borderId="7" xfId="0" applyFont="1" applyBorder="1" applyAlignment="1">
      <alignment horizontal="right"/>
    </xf>
    <xf numFmtId="0" fontId="10" fillId="0" borderId="8" xfId="0" applyFont="1" applyBorder="1" applyAlignment="1">
      <alignment horizontal="right"/>
    </xf>
    <xf numFmtId="0" fontId="13" fillId="4" borderId="10" xfId="0" applyFont="1" applyFill="1" applyBorder="1" applyAlignment="1">
      <alignment horizontal="center" vertical="center"/>
    </xf>
    <xf numFmtId="0" fontId="6" fillId="0" borderId="11" xfId="0" applyFont="1" applyBorder="1" applyAlignment="1">
      <alignment horizontal="center" vertical="center"/>
    </xf>
    <xf numFmtId="0" fontId="13" fillId="3" borderId="9" xfId="0" applyFont="1" applyFill="1" applyBorder="1" applyAlignment="1">
      <alignment horizontal="center" vertical="center" wrapText="1"/>
    </xf>
    <xf numFmtId="0" fontId="6" fillId="0" borderId="8" xfId="0" applyFont="1" applyBorder="1" applyAlignment="1">
      <alignment horizontal="center" vertical="center" wrapText="1"/>
    </xf>
    <xf numFmtId="0" fontId="13" fillId="4" borderId="9" xfId="0" applyFont="1" applyFill="1" applyBorder="1" applyAlignment="1">
      <alignment horizontal="center" vertical="center" wrapText="1"/>
    </xf>
    <xf numFmtId="0" fontId="6" fillId="0" borderId="8" xfId="0" applyFont="1" applyBorder="1" applyAlignment="1">
      <alignment horizontal="center" vertical="center"/>
    </xf>
    <xf numFmtId="0" fontId="0" fillId="5" borderId="9" xfId="0" applyFill="1" applyBorder="1" applyAlignment="1"/>
    <xf numFmtId="0" fontId="0" fillId="0" borderId="7" xfId="0" applyBorder="1" applyAlignment="1"/>
    <xf numFmtId="0" fontId="0" fillId="0" borderId="8" xfId="0" applyBorder="1" applyAlignment="1"/>
    <xf numFmtId="0" fontId="5" fillId="0" borderId="5" xfId="0" applyFont="1" applyBorder="1" applyAlignment="1">
      <alignment vertical="center" wrapText="1"/>
    </xf>
    <xf numFmtId="0" fontId="5" fillId="2" borderId="4" xfId="2" applyFont="1" applyFill="1" applyBorder="1" applyAlignment="1" applyProtection="1">
      <alignment horizontal="center" vertical="center" wrapText="1"/>
    </xf>
    <xf numFmtId="0" fontId="5" fillId="2" borderId="1" xfId="2" applyFont="1" applyFill="1" applyBorder="1" applyAlignment="1" applyProtection="1">
      <alignment horizontal="center" vertical="center" wrapText="1"/>
    </xf>
    <xf numFmtId="0" fontId="0" fillId="6" borderId="44" xfId="0" applyFill="1" applyBorder="1" applyAlignment="1">
      <alignment horizontal="center" vertical="center" wrapText="1"/>
    </xf>
    <xf numFmtId="0" fontId="0" fillId="6" borderId="32" xfId="0" applyFill="1" applyBorder="1" applyAlignment="1">
      <alignment horizontal="center" vertical="center" wrapText="1"/>
    </xf>
  </cellXfs>
  <cellStyles count="639">
    <cellStyle name="Comma 2" xfId="1"/>
    <cellStyle name="Comma 3" xfId="45"/>
    <cellStyle name="Comma 3 2" xfId="46"/>
    <cellStyle name="Currency 2" xfId="3"/>
    <cellStyle name="Followed Hyperlink" xfId="10" builtinId="9" hidden="1"/>
    <cellStyle name="Followed Hyperlink" xfId="18" builtinId="9" hidden="1"/>
    <cellStyle name="Followed Hyperlink" xfId="6" builtinId="9" hidden="1"/>
    <cellStyle name="Followed Hyperlink" xfId="12" builtinId="9" hidden="1"/>
    <cellStyle name="Followed Hyperlink" xfId="28" builtinId="9" hidden="1"/>
    <cellStyle name="Followed Hyperlink" xfId="22" builtinId="9" hidden="1"/>
    <cellStyle name="Followed Hyperlink" xfId="30" builtinId="9" hidden="1"/>
    <cellStyle name="Followed Hyperlink" xfId="34" builtinId="9" hidden="1"/>
    <cellStyle name="Followed Hyperlink" xfId="32" builtinId="9" hidden="1"/>
    <cellStyle name="Followed Hyperlink" xfId="16" builtinId="9" hidden="1"/>
    <cellStyle name="Followed Hyperlink" xfId="36" builtinId="9" hidden="1"/>
    <cellStyle name="Followed Hyperlink" xfId="40" builtinId="9" hidden="1"/>
    <cellStyle name="Followed Hyperlink" xfId="44" builtinId="9" hidden="1"/>
    <cellStyle name="Followed Hyperlink" xfId="24" builtinId="9" hidden="1"/>
    <cellStyle name="Followed Hyperlink" xfId="42" builtinId="9" hidden="1"/>
    <cellStyle name="Followed Hyperlink" xfId="38" builtinId="9" hidden="1"/>
    <cellStyle name="Followed Hyperlink" xfId="53" builtinId="9" hidden="1"/>
    <cellStyle name="Followed Hyperlink" xfId="61" builtinId="9" hidden="1"/>
    <cellStyle name="Followed Hyperlink" xfId="49" builtinId="9" hidden="1"/>
    <cellStyle name="Followed Hyperlink" xfId="55" builtinId="9" hidden="1"/>
    <cellStyle name="Followed Hyperlink" xfId="71" builtinId="9" hidden="1"/>
    <cellStyle name="Followed Hyperlink" xfId="65" builtinId="9" hidden="1"/>
    <cellStyle name="Followed Hyperlink" xfId="73" builtinId="9" hidden="1"/>
    <cellStyle name="Followed Hyperlink" xfId="77" builtinId="9" hidden="1"/>
    <cellStyle name="Followed Hyperlink" xfId="75" builtinId="9" hidden="1"/>
    <cellStyle name="Followed Hyperlink" xfId="59" builtinId="9" hidden="1"/>
    <cellStyle name="Followed Hyperlink" xfId="79" builtinId="9" hidden="1"/>
    <cellStyle name="Followed Hyperlink" xfId="83" builtinId="9" hidden="1"/>
    <cellStyle name="Followed Hyperlink" xfId="87" builtinId="9" hidden="1"/>
    <cellStyle name="Followed Hyperlink" xfId="67" builtinId="9" hidden="1"/>
    <cellStyle name="Followed Hyperlink" xfId="85" builtinId="9" hidden="1"/>
    <cellStyle name="Followed Hyperlink" xfId="81" builtinId="9" hidden="1"/>
    <cellStyle name="Followed Hyperlink" xfId="96" builtinId="9" hidden="1"/>
    <cellStyle name="Followed Hyperlink" xfId="102" builtinId="9" hidden="1"/>
    <cellStyle name="Followed Hyperlink" xfId="106" builtinId="9" hidden="1"/>
    <cellStyle name="Followed Hyperlink" xfId="100" builtinId="9" hidden="1"/>
    <cellStyle name="Followed Hyperlink" xfId="108" builtinId="9" hidden="1"/>
    <cellStyle name="Followed Hyperlink" xfId="114" builtinId="9" hidden="1"/>
    <cellStyle name="Followed Hyperlink" xfId="118" builtinId="9" hidden="1"/>
    <cellStyle name="Followed Hyperlink" xfId="112" builtinId="9" hidden="1"/>
    <cellStyle name="Followed Hyperlink" xfId="120" builtinId="9" hidden="1"/>
    <cellStyle name="Followed Hyperlink" xfId="124" builtinId="9" hidden="1"/>
    <cellStyle name="Followed Hyperlink" xfId="126" builtinId="9" hidden="1"/>
    <cellStyle name="Followed Hyperlink" xfId="122" builtinId="9" hidden="1"/>
    <cellStyle name="Followed Hyperlink" xfId="128" builtinId="9" hidden="1"/>
    <cellStyle name="Followed Hyperlink" xfId="132" builtinId="9" hidden="1"/>
    <cellStyle name="Followed Hyperlink" xfId="134" builtinId="9" hidden="1"/>
    <cellStyle name="Followed Hyperlink" xfId="130" builtinId="9" hidden="1"/>
    <cellStyle name="Followed Hyperlink" xfId="136" builtinId="9" hidden="1"/>
    <cellStyle name="Followed Hyperlink" xfId="142" builtinId="9" hidden="1"/>
    <cellStyle name="Followed Hyperlink" xfId="146" builtinId="9" hidden="1"/>
    <cellStyle name="Followed Hyperlink" xfId="140" builtinId="9" hidden="1"/>
    <cellStyle name="Followed Hyperlink" xfId="148" builtinId="9" hidden="1"/>
    <cellStyle name="Followed Hyperlink" xfId="153" builtinId="9" hidden="1"/>
    <cellStyle name="Followed Hyperlink" xfId="156" builtinId="9" hidden="1"/>
    <cellStyle name="Followed Hyperlink" xfId="151" builtinId="9" hidden="1"/>
    <cellStyle name="Followed Hyperlink" xfId="158" builtinId="9" hidden="1"/>
    <cellStyle name="Followed Hyperlink" xfId="162" builtinId="9" hidden="1"/>
    <cellStyle name="Followed Hyperlink" xfId="164" builtinId="9" hidden="1"/>
    <cellStyle name="Followed Hyperlink" xfId="160" builtinId="9" hidden="1"/>
    <cellStyle name="Followed Hyperlink" xfId="166" builtinId="9" hidden="1"/>
    <cellStyle name="Followed Hyperlink" xfId="170" builtinId="9" hidden="1"/>
    <cellStyle name="Followed Hyperlink" xfId="172" builtinId="9" hidden="1"/>
    <cellStyle name="Followed Hyperlink" xfId="168" builtinId="9" hidden="1"/>
    <cellStyle name="Followed Hyperlink" xfId="137" builtinId="9" hidden="1"/>
    <cellStyle name="Followed Hyperlink" xfId="92" builtinId="9" hidden="1"/>
    <cellStyle name="Followed Hyperlink" xfId="176" builtinId="9" hidden="1"/>
    <cellStyle name="Followed Hyperlink" xfId="88" builtinId="9" hidden="1"/>
    <cellStyle name="Followed Hyperlink" xfId="178" builtinId="9" hidden="1"/>
    <cellStyle name="Followed Hyperlink" xfId="183" builtinId="9" hidden="1"/>
    <cellStyle name="Followed Hyperlink" xfId="186" builtinId="9" hidden="1"/>
    <cellStyle name="Followed Hyperlink" xfId="181" builtinId="9" hidden="1"/>
    <cellStyle name="Followed Hyperlink" xfId="188" builtinId="9" hidden="1"/>
    <cellStyle name="Followed Hyperlink" xfId="192" builtinId="9" hidden="1"/>
    <cellStyle name="Followed Hyperlink" xfId="194" builtinId="9" hidden="1"/>
    <cellStyle name="Followed Hyperlink" xfId="190" builtinId="9" hidden="1"/>
    <cellStyle name="Followed Hyperlink" xfId="196" builtinId="9" hidden="1"/>
    <cellStyle name="Followed Hyperlink" xfId="200" builtinId="9" hidden="1"/>
    <cellStyle name="Followed Hyperlink" xfId="202" builtinId="9" hidden="1"/>
    <cellStyle name="Followed Hyperlink" xfId="198" builtinId="9" hidden="1"/>
    <cellStyle name="Followed Hyperlink" xfId="90" builtinId="9" hidden="1"/>
    <cellStyle name="Followed Hyperlink" xfId="144" builtinId="9" hidden="1"/>
    <cellStyle name="Followed Hyperlink" xfId="205" builtinId="9" hidden="1"/>
    <cellStyle name="Followed Hyperlink" xfId="138" builtinId="9" hidden="1"/>
    <cellStyle name="Followed Hyperlink" xfId="207" builtinId="9" hidden="1"/>
    <cellStyle name="Followed Hyperlink" xfId="211" builtinId="9" hidden="1"/>
    <cellStyle name="Followed Hyperlink" xfId="213" builtinId="9" hidden="1"/>
    <cellStyle name="Followed Hyperlink" xfId="209" builtinId="9" hidden="1"/>
    <cellStyle name="Followed Hyperlink" xfId="215" builtinId="9" hidden="1"/>
    <cellStyle name="Followed Hyperlink" xfId="219" builtinId="9" hidden="1"/>
    <cellStyle name="Followed Hyperlink" xfId="221" builtinId="9" hidden="1"/>
    <cellStyle name="Followed Hyperlink" xfId="217" builtinId="9" hidden="1"/>
    <cellStyle name="Followed Hyperlink" xfId="223" builtinId="9" hidden="1"/>
    <cellStyle name="Followed Hyperlink" xfId="227" builtinId="9" hidden="1"/>
    <cellStyle name="Followed Hyperlink" xfId="229" builtinId="9" hidden="1"/>
    <cellStyle name="Followed Hyperlink" xfId="225" builtinId="9" hidden="1"/>
    <cellStyle name="Followed Hyperlink" xfId="93" builtinId="9" hidden="1"/>
    <cellStyle name="Followed Hyperlink" xfId="174" builtinId="9" hidden="1"/>
    <cellStyle name="Followed Hyperlink" xfId="231" builtinId="9" hidden="1"/>
    <cellStyle name="Followed Hyperlink" xfId="94" builtinId="9" hidden="1"/>
    <cellStyle name="Followed Hyperlink" xfId="233" builtinId="9" hidden="1"/>
    <cellStyle name="Followed Hyperlink" xfId="237" builtinId="9" hidden="1"/>
    <cellStyle name="Followed Hyperlink" xfId="239" builtinId="9" hidden="1"/>
    <cellStyle name="Followed Hyperlink" xfId="235" builtinId="9" hidden="1"/>
    <cellStyle name="Followed Hyperlink" xfId="241" builtinId="9" hidden="1"/>
    <cellStyle name="Followed Hyperlink" xfId="245" builtinId="9" hidden="1"/>
    <cellStyle name="Followed Hyperlink" xfId="247" builtinId="9" hidden="1"/>
    <cellStyle name="Followed Hyperlink" xfId="243" builtinId="9" hidden="1"/>
    <cellStyle name="Followed Hyperlink" xfId="249" builtinId="9" hidden="1"/>
    <cellStyle name="Followed Hyperlink" xfId="253" builtinId="9" hidden="1"/>
    <cellStyle name="Followed Hyperlink" xfId="255" builtinId="9" hidden="1"/>
    <cellStyle name="Followed Hyperlink" xfId="251" builtinId="9" hidden="1"/>
    <cellStyle name="Followed Hyperlink" xfId="266" builtinId="9" hidden="1"/>
    <cellStyle name="Followed Hyperlink" xfId="272" builtinId="9" hidden="1"/>
    <cellStyle name="Followed Hyperlink" xfId="263" builtinId="9" hidden="1"/>
    <cellStyle name="Followed Hyperlink" xfId="268" builtinId="9" hidden="1"/>
    <cellStyle name="Followed Hyperlink" xfId="280" builtinId="9" hidden="1"/>
    <cellStyle name="Followed Hyperlink" xfId="275" builtinId="9" hidden="1"/>
    <cellStyle name="Followed Hyperlink" xfId="282" builtinId="9" hidden="1"/>
    <cellStyle name="Followed Hyperlink" xfId="286" builtinId="9" hidden="1"/>
    <cellStyle name="Followed Hyperlink" xfId="284" builtinId="9" hidden="1"/>
    <cellStyle name="Followed Hyperlink" xfId="270" builtinId="9" hidden="1"/>
    <cellStyle name="Followed Hyperlink" xfId="288" builtinId="9" hidden="1"/>
    <cellStyle name="Followed Hyperlink" xfId="292" builtinId="9" hidden="1"/>
    <cellStyle name="Followed Hyperlink" xfId="296" builtinId="9" hidden="1"/>
    <cellStyle name="Followed Hyperlink" xfId="277" builtinId="9" hidden="1"/>
    <cellStyle name="Followed Hyperlink" xfId="294" builtinId="9" hidden="1"/>
    <cellStyle name="Followed Hyperlink" xfId="290" builtinId="9" hidden="1"/>
    <cellStyle name="Followed Hyperlink" xfId="305" builtinId="9" hidden="1"/>
    <cellStyle name="Followed Hyperlink" xfId="309" builtinId="9" hidden="1"/>
    <cellStyle name="Followed Hyperlink" xfId="312" builtinId="9" hidden="1"/>
    <cellStyle name="Followed Hyperlink" xfId="307" builtinId="9" hidden="1"/>
    <cellStyle name="Followed Hyperlink" xfId="314" builtinId="9" hidden="1"/>
    <cellStyle name="Followed Hyperlink" xfId="318" builtinId="9" hidden="1"/>
    <cellStyle name="Followed Hyperlink" xfId="321" builtinId="9" hidden="1"/>
    <cellStyle name="Followed Hyperlink" xfId="316" builtinId="9" hidden="1"/>
    <cellStyle name="Followed Hyperlink" xfId="323" builtinId="9" hidden="1"/>
    <cellStyle name="Followed Hyperlink" xfId="327" builtinId="9" hidden="1"/>
    <cellStyle name="Followed Hyperlink" xfId="329" builtinId="9" hidden="1"/>
    <cellStyle name="Followed Hyperlink" xfId="325" builtinId="9" hidden="1"/>
    <cellStyle name="Followed Hyperlink" xfId="331" builtinId="9" hidden="1"/>
    <cellStyle name="Followed Hyperlink" xfId="335" builtinId="9" hidden="1"/>
    <cellStyle name="Followed Hyperlink" xfId="337" builtinId="9" hidden="1"/>
    <cellStyle name="Followed Hyperlink" xfId="333" builtinId="9" hidden="1"/>
    <cellStyle name="Followed Hyperlink" xfId="339" builtinId="9" hidden="1"/>
    <cellStyle name="Followed Hyperlink" xfId="345" builtinId="9" hidden="1"/>
    <cellStyle name="Followed Hyperlink" xfId="349" builtinId="9" hidden="1"/>
    <cellStyle name="Followed Hyperlink" xfId="343" builtinId="9" hidden="1"/>
    <cellStyle name="Followed Hyperlink" xfId="351" builtinId="9" hidden="1"/>
    <cellStyle name="Followed Hyperlink" xfId="356" builtinId="9" hidden="1"/>
    <cellStyle name="Followed Hyperlink" xfId="359" builtinId="9" hidden="1"/>
    <cellStyle name="Followed Hyperlink" xfId="354" builtinId="9" hidden="1"/>
    <cellStyle name="Followed Hyperlink" xfId="361" builtinId="9" hidden="1"/>
    <cellStyle name="Followed Hyperlink" xfId="365" builtinId="9" hidden="1"/>
    <cellStyle name="Followed Hyperlink" xfId="367" builtinId="9" hidden="1"/>
    <cellStyle name="Followed Hyperlink" xfId="363" builtinId="9" hidden="1"/>
    <cellStyle name="Followed Hyperlink" xfId="369" builtinId="9" hidden="1"/>
    <cellStyle name="Followed Hyperlink" xfId="373" builtinId="9" hidden="1"/>
    <cellStyle name="Followed Hyperlink" xfId="375" builtinId="9" hidden="1"/>
    <cellStyle name="Followed Hyperlink" xfId="371" builtinId="9" hidden="1"/>
    <cellStyle name="Followed Hyperlink" xfId="340" builtinId="9" hidden="1"/>
    <cellStyle name="Followed Hyperlink" xfId="301" builtinId="9" hidden="1"/>
    <cellStyle name="Followed Hyperlink" xfId="379" builtinId="9" hidden="1"/>
    <cellStyle name="Followed Hyperlink" xfId="297" builtinId="9" hidden="1"/>
    <cellStyle name="Followed Hyperlink" xfId="381" builtinId="9" hidden="1"/>
    <cellStyle name="Followed Hyperlink" xfId="386" builtinId="9" hidden="1"/>
    <cellStyle name="Followed Hyperlink" xfId="389" builtinId="9" hidden="1"/>
    <cellStyle name="Followed Hyperlink" xfId="384" builtinId="9" hidden="1"/>
    <cellStyle name="Followed Hyperlink" xfId="391" builtinId="9" hidden="1"/>
    <cellStyle name="Followed Hyperlink" xfId="395" builtinId="9" hidden="1"/>
    <cellStyle name="Followed Hyperlink" xfId="397" builtinId="9" hidden="1"/>
    <cellStyle name="Followed Hyperlink" xfId="393" builtinId="9" hidden="1"/>
    <cellStyle name="Followed Hyperlink" xfId="399" builtinId="9" hidden="1"/>
    <cellStyle name="Followed Hyperlink" xfId="403" builtinId="9" hidden="1"/>
    <cellStyle name="Followed Hyperlink" xfId="405" builtinId="9" hidden="1"/>
    <cellStyle name="Followed Hyperlink" xfId="401" builtinId="9" hidden="1"/>
    <cellStyle name="Followed Hyperlink" xfId="299" builtinId="9" hidden="1"/>
    <cellStyle name="Followed Hyperlink" xfId="347" builtinId="9" hidden="1"/>
    <cellStyle name="Followed Hyperlink" xfId="408" builtinId="9" hidden="1"/>
    <cellStyle name="Followed Hyperlink" xfId="341" builtinId="9" hidden="1"/>
    <cellStyle name="Followed Hyperlink" xfId="410" builtinId="9" hidden="1"/>
    <cellStyle name="Followed Hyperlink" xfId="414" builtinId="9" hidden="1"/>
    <cellStyle name="Followed Hyperlink" xfId="416" builtinId="9" hidden="1"/>
    <cellStyle name="Followed Hyperlink" xfId="412" builtinId="9" hidden="1"/>
    <cellStyle name="Followed Hyperlink" xfId="418" builtinId="9" hidden="1"/>
    <cellStyle name="Followed Hyperlink" xfId="422" builtinId="9" hidden="1"/>
    <cellStyle name="Followed Hyperlink" xfId="424" builtinId="9" hidden="1"/>
    <cellStyle name="Followed Hyperlink" xfId="420" builtinId="9" hidden="1"/>
    <cellStyle name="Followed Hyperlink" xfId="426" builtinId="9" hidden="1"/>
    <cellStyle name="Followed Hyperlink" xfId="430" builtinId="9" hidden="1"/>
    <cellStyle name="Followed Hyperlink" xfId="432" builtinId="9" hidden="1"/>
    <cellStyle name="Followed Hyperlink" xfId="428" builtinId="9" hidden="1"/>
    <cellStyle name="Followed Hyperlink" xfId="302" builtinId="9" hidden="1"/>
    <cellStyle name="Followed Hyperlink" xfId="377" builtinId="9" hidden="1"/>
    <cellStyle name="Followed Hyperlink" xfId="434" builtinId="9" hidden="1"/>
    <cellStyle name="Followed Hyperlink" xfId="303" builtinId="9" hidden="1"/>
    <cellStyle name="Followed Hyperlink" xfId="436" builtinId="9" hidden="1"/>
    <cellStyle name="Followed Hyperlink" xfId="440" builtinId="9" hidden="1"/>
    <cellStyle name="Followed Hyperlink" xfId="442" builtinId="9" hidden="1"/>
    <cellStyle name="Followed Hyperlink" xfId="438" builtinId="9" hidden="1"/>
    <cellStyle name="Followed Hyperlink" xfId="444" builtinId="9" hidden="1"/>
    <cellStyle name="Followed Hyperlink" xfId="448" builtinId="9" hidden="1"/>
    <cellStyle name="Followed Hyperlink" xfId="450" builtinId="9" hidden="1"/>
    <cellStyle name="Followed Hyperlink" xfId="446" builtinId="9" hidden="1"/>
    <cellStyle name="Followed Hyperlink" xfId="452" builtinId="9" hidden="1"/>
    <cellStyle name="Followed Hyperlink" xfId="456" builtinId="9" hidden="1"/>
    <cellStyle name="Followed Hyperlink" xfId="458" builtinId="9" hidden="1"/>
    <cellStyle name="Followed Hyperlink" xfId="454" builtinId="9" hidden="1"/>
    <cellStyle name="Followed Hyperlink" xfId="310" builtinId="9" hidden="1"/>
    <cellStyle name="Followed Hyperlink" xfId="258" builtinId="9" hidden="1"/>
    <cellStyle name="Followed Hyperlink" xfId="261" builtinId="9" hidden="1"/>
    <cellStyle name="Followed Hyperlink" xfId="278" builtinId="9" hidden="1"/>
    <cellStyle name="Followed Hyperlink" xfId="462" builtinId="9" hidden="1"/>
    <cellStyle name="Followed Hyperlink" xfId="257" builtinId="9" hidden="1"/>
    <cellStyle name="Followed Hyperlink" xfId="464" builtinId="9" hidden="1"/>
    <cellStyle name="Followed Hyperlink" xfId="468" builtinId="9" hidden="1"/>
    <cellStyle name="Followed Hyperlink" xfId="466" builtinId="9" hidden="1"/>
    <cellStyle name="Followed Hyperlink" xfId="47" builtinId="9" hidden="1"/>
    <cellStyle name="Followed Hyperlink" xfId="470" builtinId="9" hidden="1"/>
    <cellStyle name="Followed Hyperlink" xfId="474" builtinId="9" hidden="1"/>
    <cellStyle name="Followed Hyperlink" xfId="478" builtinId="9" hidden="1"/>
    <cellStyle name="Followed Hyperlink" xfId="460" builtinId="9" hidden="1"/>
    <cellStyle name="Followed Hyperlink" xfId="476" builtinId="9" hidden="1"/>
    <cellStyle name="Followed Hyperlink" xfId="472" builtinId="9" hidden="1"/>
    <cellStyle name="Followed Hyperlink" xfId="487" builtinId="9" hidden="1"/>
    <cellStyle name="Followed Hyperlink" xfId="491" builtinId="9" hidden="1"/>
    <cellStyle name="Followed Hyperlink" xfId="493" builtinId="9" hidden="1"/>
    <cellStyle name="Followed Hyperlink" xfId="489" builtinId="9" hidden="1"/>
    <cellStyle name="Followed Hyperlink" xfId="495" builtinId="9" hidden="1"/>
    <cellStyle name="Followed Hyperlink" xfId="499" builtinId="9" hidden="1"/>
    <cellStyle name="Followed Hyperlink" xfId="501" builtinId="9" hidden="1"/>
    <cellStyle name="Followed Hyperlink" xfId="497" builtinId="9" hidden="1"/>
    <cellStyle name="Followed Hyperlink" xfId="503" builtinId="9" hidden="1"/>
    <cellStyle name="Followed Hyperlink" xfId="507" builtinId="9" hidden="1"/>
    <cellStyle name="Followed Hyperlink" xfId="509" builtinId="9" hidden="1"/>
    <cellStyle name="Followed Hyperlink" xfId="505" builtinId="9" hidden="1"/>
    <cellStyle name="Followed Hyperlink" xfId="511" builtinId="9" hidden="1"/>
    <cellStyle name="Followed Hyperlink" xfId="515" builtinId="9" hidden="1"/>
    <cellStyle name="Followed Hyperlink" xfId="517" builtinId="9" hidden="1"/>
    <cellStyle name="Followed Hyperlink" xfId="513" builtinId="9" hidden="1"/>
    <cellStyle name="Followed Hyperlink" xfId="519" builtinId="9" hidden="1"/>
    <cellStyle name="Followed Hyperlink" xfId="525" builtinId="9" hidden="1"/>
    <cellStyle name="Followed Hyperlink" xfId="529" builtinId="9" hidden="1"/>
    <cellStyle name="Followed Hyperlink" xfId="523" builtinId="9" hidden="1"/>
    <cellStyle name="Followed Hyperlink" xfId="531" builtinId="9" hidden="1"/>
    <cellStyle name="Followed Hyperlink" xfId="536" builtinId="9" hidden="1"/>
    <cellStyle name="Followed Hyperlink" xfId="539" builtinId="9" hidden="1"/>
    <cellStyle name="Followed Hyperlink" xfId="534" builtinId="9" hidden="1"/>
    <cellStyle name="Followed Hyperlink" xfId="541" builtinId="9" hidden="1"/>
    <cellStyle name="Followed Hyperlink" xfId="545" builtinId="9" hidden="1"/>
    <cellStyle name="Followed Hyperlink" xfId="547" builtinId="9" hidden="1"/>
    <cellStyle name="Followed Hyperlink" xfId="543" builtinId="9" hidden="1"/>
    <cellStyle name="Followed Hyperlink" xfId="549" builtinId="9" hidden="1"/>
    <cellStyle name="Followed Hyperlink" xfId="553" builtinId="9" hidden="1"/>
    <cellStyle name="Followed Hyperlink" xfId="555" builtinId="9" hidden="1"/>
    <cellStyle name="Followed Hyperlink" xfId="551" builtinId="9" hidden="1"/>
    <cellStyle name="Followed Hyperlink" xfId="520" builtinId="9" hidden="1"/>
    <cellStyle name="Followed Hyperlink" xfId="483" builtinId="9" hidden="1"/>
    <cellStyle name="Followed Hyperlink" xfId="559" builtinId="9" hidden="1"/>
    <cellStyle name="Followed Hyperlink" xfId="479" builtinId="9" hidden="1"/>
    <cellStyle name="Followed Hyperlink" xfId="561" builtinId="9" hidden="1"/>
    <cellStyle name="Followed Hyperlink" xfId="566" builtinId="9" hidden="1"/>
    <cellStyle name="Followed Hyperlink" xfId="569" builtinId="9" hidden="1"/>
    <cellStyle name="Followed Hyperlink" xfId="564" builtinId="9" hidden="1"/>
    <cellStyle name="Followed Hyperlink" xfId="571" builtinId="9" hidden="1"/>
    <cellStyle name="Followed Hyperlink" xfId="575" builtinId="9" hidden="1"/>
    <cellStyle name="Followed Hyperlink" xfId="577" builtinId="9" hidden="1"/>
    <cellStyle name="Followed Hyperlink" xfId="573" builtinId="9" hidden="1"/>
    <cellStyle name="Followed Hyperlink" xfId="579" builtinId="9" hidden="1"/>
    <cellStyle name="Followed Hyperlink" xfId="583" builtinId="9" hidden="1"/>
    <cellStyle name="Followed Hyperlink" xfId="585" builtinId="9" hidden="1"/>
    <cellStyle name="Followed Hyperlink" xfId="581" builtinId="9" hidden="1"/>
    <cellStyle name="Followed Hyperlink" xfId="481" builtinId="9" hidden="1"/>
    <cellStyle name="Followed Hyperlink" xfId="527" builtinId="9" hidden="1"/>
    <cellStyle name="Followed Hyperlink" xfId="588" builtinId="9" hidden="1"/>
    <cellStyle name="Followed Hyperlink" xfId="521" builtinId="9" hidden="1"/>
    <cellStyle name="Followed Hyperlink" xfId="590" builtinId="9" hidden="1"/>
    <cellStyle name="Followed Hyperlink" xfId="594" builtinId="9" hidden="1"/>
    <cellStyle name="Followed Hyperlink" xfId="596" builtinId="9" hidden="1"/>
    <cellStyle name="Followed Hyperlink" xfId="592" builtinId="9" hidden="1"/>
    <cellStyle name="Followed Hyperlink" xfId="598" builtinId="9" hidden="1"/>
    <cellStyle name="Followed Hyperlink" xfId="602" builtinId="9" hidden="1"/>
    <cellStyle name="Followed Hyperlink" xfId="604" builtinId="9" hidden="1"/>
    <cellStyle name="Followed Hyperlink" xfId="600" builtinId="9" hidden="1"/>
    <cellStyle name="Followed Hyperlink" xfId="606" builtinId="9" hidden="1"/>
    <cellStyle name="Followed Hyperlink" xfId="610" builtinId="9" hidden="1"/>
    <cellStyle name="Followed Hyperlink" xfId="612" builtinId="9" hidden="1"/>
    <cellStyle name="Followed Hyperlink" xfId="608" builtinId="9" hidden="1"/>
    <cellStyle name="Followed Hyperlink" xfId="484" builtinId="9" hidden="1"/>
    <cellStyle name="Followed Hyperlink" xfId="557" builtinId="9" hidden="1"/>
    <cellStyle name="Followed Hyperlink" xfId="614" builtinId="9" hidden="1"/>
    <cellStyle name="Followed Hyperlink" xfId="485" builtinId="9" hidden="1"/>
    <cellStyle name="Followed Hyperlink" xfId="616" builtinId="9" hidden="1"/>
    <cellStyle name="Followed Hyperlink" xfId="620" builtinId="9" hidden="1"/>
    <cellStyle name="Followed Hyperlink" xfId="622" builtinId="9" hidden="1"/>
    <cellStyle name="Followed Hyperlink" xfId="618" builtinId="9" hidden="1"/>
    <cellStyle name="Followed Hyperlink" xfId="624" builtinId="9" hidden="1"/>
    <cellStyle name="Followed Hyperlink" xfId="628" builtinId="9" hidden="1"/>
    <cellStyle name="Followed Hyperlink" xfId="630" builtinId="9" hidden="1"/>
    <cellStyle name="Followed Hyperlink" xfId="626" builtinId="9" hidden="1"/>
    <cellStyle name="Followed Hyperlink" xfId="632" builtinId="9" hidden="1"/>
    <cellStyle name="Followed Hyperlink" xfId="636" builtinId="9" hidden="1"/>
    <cellStyle name="Followed Hyperlink" xfId="638" builtinId="9" hidden="1"/>
    <cellStyle name="Followed Hyperlink" xfId="634" builtinId="9" hidden="1"/>
    <cellStyle name="Hyperlink" xfId="9" builtinId="8" hidden="1"/>
    <cellStyle name="Hyperlink" xfId="23" builtinId="8" hidden="1"/>
    <cellStyle name="Hyperlink" xfId="27" builtinId="8" hidden="1"/>
    <cellStyle name="Hyperlink" xfId="21" builtinId="8" hidden="1"/>
    <cellStyle name="Hyperlink" xfId="11" builtinId="8" hidden="1"/>
    <cellStyle name="Hyperlink" xfId="15" builtinId="8" hidden="1"/>
    <cellStyle name="Hyperlink" xfId="5" builtinId="8" hidden="1"/>
    <cellStyle name="Hyperlink" xfId="17" builtinId="8" hidden="1"/>
    <cellStyle name="Hyperlink" xfId="31" builtinId="8" hidden="1"/>
    <cellStyle name="Hyperlink" xfId="43" builtinId="8" hidden="1"/>
    <cellStyle name="Hyperlink" xfId="39" builtinId="8" hidden="1"/>
    <cellStyle name="Hyperlink" xfId="37" builtinId="8" hidden="1"/>
    <cellStyle name="Hyperlink" xfId="41" builtinId="8" hidden="1"/>
    <cellStyle name="Hyperlink" xfId="33" builtinId="8" hidden="1"/>
    <cellStyle name="Hyperlink" xfId="35" builtinId="8" hidden="1"/>
    <cellStyle name="Hyperlink" xfId="29" builtinId="8" hidden="1"/>
    <cellStyle name="Hyperlink" xfId="52" builtinId="8" hidden="1"/>
    <cellStyle name="Hyperlink" xfId="66" builtinId="8" hidden="1"/>
    <cellStyle name="Hyperlink" xfId="70" builtinId="8" hidden="1"/>
    <cellStyle name="Hyperlink" xfId="64" builtinId="8" hidden="1"/>
    <cellStyle name="Hyperlink" xfId="54" builtinId="8" hidden="1"/>
    <cellStyle name="Hyperlink" xfId="58" builtinId="8" hidden="1"/>
    <cellStyle name="Hyperlink" xfId="48" builtinId="8" hidden="1"/>
    <cellStyle name="Hyperlink" xfId="60" builtinId="8" hidden="1"/>
    <cellStyle name="Hyperlink" xfId="74" builtinId="8" hidden="1"/>
    <cellStyle name="Hyperlink" xfId="86" builtinId="8" hidden="1"/>
    <cellStyle name="Hyperlink" xfId="82" builtinId="8" hidden="1"/>
    <cellStyle name="Hyperlink" xfId="80" builtinId="8" hidden="1"/>
    <cellStyle name="Hyperlink" xfId="84" builtinId="8" hidden="1"/>
    <cellStyle name="Hyperlink" xfId="76" builtinId="8" hidden="1"/>
    <cellStyle name="Hyperlink" xfId="78" builtinId="8" hidden="1"/>
    <cellStyle name="Hyperlink" xfId="72" builtinId="8" hidden="1"/>
    <cellStyle name="Hyperlink" xfId="95" builtinId="8" hidden="1"/>
    <cellStyle name="Hyperlink" xfId="101" builtinId="8" hidden="1"/>
    <cellStyle name="Hyperlink" xfId="105" builtinId="8" hidden="1"/>
    <cellStyle name="Hyperlink" xfId="99" builtinId="8" hidden="1"/>
    <cellStyle name="Hyperlink" xfId="107" builtinId="8" hidden="1"/>
    <cellStyle name="Hyperlink" xfId="113" builtinId="8" hidden="1"/>
    <cellStyle name="Hyperlink" xfId="117" builtinId="8" hidden="1"/>
    <cellStyle name="Hyperlink" xfId="111" builtinId="8" hidden="1"/>
    <cellStyle name="Hyperlink" xfId="119" builtinId="8" hidden="1"/>
    <cellStyle name="Hyperlink" xfId="123" builtinId="8" hidden="1"/>
    <cellStyle name="Hyperlink" xfId="125" builtinId="8" hidden="1"/>
    <cellStyle name="Hyperlink" xfId="121" builtinId="8" hidden="1"/>
    <cellStyle name="Hyperlink" xfId="127" builtinId="8" hidden="1"/>
    <cellStyle name="Hyperlink" xfId="131" builtinId="8" hidden="1"/>
    <cellStyle name="Hyperlink" xfId="133" builtinId="8" hidden="1"/>
    <cellStyle name="Hyperlink" xfId="129" builtinId="8" hidden="1"/>
    <cellStyle name="Hyperlink" xfId="135" builtinId="8" hidden="1"/>
    <cellStyle name="Hyperlink" xfId="141" builtinId="8" hidden="1"/>
    <cellStyle name="Hyperlink" xfId="145" builtinId="8" hidden="1"/>
    <cellStyle name="Hyperlink" xfId="139" builtinId="8" hidden="1"/>
    <cellStyle name="Hyperlink" xfId="147" builtinId="8" hidden="1"/>
    <cellStyle name="Hyperlink" xfId="152" builtinId="8" hidden="1"/>
    <cellStyle name="Hyperlink" xfId="155" builtinId="8" hidden="1"/>
    <cellStyle name="Hyperlink" xfId="150" builtinId="8" hidden="1"/>
    <cellStyle name="Hyperlink" xfId="157" builtinId="8" hidden="1"/>
    <cellStyle name="Hyperlink" xfId="161" builtinId="8" hidden="1"/>
    <cellStyle name="Hyperlink" xfId="163" builtinId="8" hidden="1"/>
    <cellStyle name="Hyperlink" xfId="159" builtinId="8" hidden="1"/>
    <cellStyle name="Hyperlink" xfId="165" builtinId="8" hidden="1"/>
    <cellStyle name="Hyperlink" xfId="169" builtinId="8" hidden="1"/>
    <cellStyle name="Hyperlink" xfId="171" builtinId="8" hidden="1"/>
    <cellStyle name="Hyperlink" xfId="167" builtinId="8" hidden="1"/>
    <cellStyle name="Hyperlink" xfId="143" builtinId="8" hidden="1"/>
    <cellStyle name="Hyperlink" xfId="91" builtinId="8" hidden="1"/>
    <cellStyle name="Hyperlink" xfId="175" builtinId="8" hidden="1"/>
    <cellStyle name="Hyperlink" xfId="89" builtinId="8" hidden="1"/>
    <cellStyle name="Hyperlink" xfId="177" builtinId="8" hidden="1"/>
    <cellStyle name="Hyperlink" xfId="182" builtinId="8" hidden="1"/>
    <cellStyle name="Hyperlink" xfId="185" builtinId="8" hidden="1"/>
    <cellStyle name="Hyperlink" xfId="180" builtinId="8" hidden="1"/>
    <cellStyle name="Hyperlink" xfId="187" builtinId="8" hidden="1"/>
    <cellStyle name="Hyperlink" xfId="191" builtinId="8" hidden="1"/>
    <cellStyle name="Hyperlink" xfId="193" builtinId="8" hidden="1"/>
    <cellStyle name="Hyperlink" xfId="189" builtinId="8" hidden="1"/>
    <cellStyle name="Hyperlink" xfId="195" builtinId="8" hidden="1"/>
    <cellStyle name="Hyperlink" xfId="199" builtinId="8" hidden="1"/>
    <cellStyle name="Hyperlink" xfId="201" builtinId="8" hidden="1"/>
    <cellStyle name="Hyperlink" xfId="197" builtinId="8" hidden="1"/>
    <cellStyle name="Hyperlink" xfId="173" builtinId="8" hidden="1"/>
    <cellStyle name="Hyperlink" xfId="154" builtinId="8" hidden="1"/>
    <cellStyle name="Hyperlink" xfId="204" builtinId="8" hidden="1"/>
    <cellStyle name="Hyperlink" xfId="149" builtinId="8" hidden="1"/>
    <cellStyle name="Hyperlink" xfId="206" builtinId="8" hidden="1"/>
    <cellStyle name="Hyperlink" xfId="210" builtinId="8" hidden="1"/>
    <cellStyle name="Hyperlink" xfId="212" builtinId="8" hidden="1"/>
    <cellStyle name="Hyperlink" xfId="208" builtinId="8" hidden="1"/>
    <cellStyle name="Hyperlink" xfId="214" builtinId="8" hidden="1"/>
    <cellStyle name="Hyperlink" xfId="218" builtinId="8" hidden="1"/>
    <cellStyle name="Hyperlink" xfId="220" builtinId="8" hidden="1"/>
    <cellStyle name="Hyperlink" xfId="216" builtinId="8" hidden="1"/>
    <cellStyle name="Hyperlink" xfId="222" builtinId="8" hidden="1"/>
    <cellStyle name="Hyperlink" xfId="226" builtinId="8" hidden="1"/>
    <cellStyle name="Hyperlink" xfId="228" builtinId="8" hidden="1"/>
    <cellStyle name="Hyperlink" xfId="224" builtinId="8" hidden="1"/>
    <cellStyle name="Hyperlink" xfId="203" builtinId="8" hidden="1"/>
    <cellStyle name="Hyperlink" xfId="184" builtinId="8" hidden="1"/>
    <cellStyle name="Hyperlink" xfId="230" builtinId="8" hidden="1"/>
    <cellStyle name="Hyperlink" xfId="179" builtinId="8" hidden="1"/>
    <cellStyle name="Hyperlink" xfId="232" builtinId="8" hidden="1"/>
    <cellStyle name="Hyperlink" xfId="236" builtinId="8" hidden="1"/>
    <cellStyle name="Hyperlink" xfId="238" builtinId="8" hidden="1"/>
    <cellStyle name="Hyperlink" xfId="234" builtinId="8" hidden="1"/>
    <cellStyle name="Hyperlink" xfId="240" builtinId="8" hidden="1"/>
    <cellStyle name="Hyperlink" xfId="244" builtinId="8" hidden="1"/>
    <cellStyle name="Hyperlink" xfId="246" builtinId="8" hidden="1"/>
    <cellStyle name="Hyperlink" xfId="242" builtinId="8" hidden="1"/>
    <cellStyle name="Hyperlink" xfId="248" builtinId="8" hidden="1"/>
    <cellStyle name="Hyperlink" xfId="252" builtinId="8" hidden="1"/>
    <cellStyle name="Hyperlink" xfId="254" builtinId="8" hidden="1"/>
    <cellStyle name="Hyperlink" xfId="250" builtinId="8" hidden="1"/>
    <cellStyle name="Hyperlink" xfId="265" builtinId="8" hidden="1"/>
    <cellStyle name="Hyperlink" xfId="276" builtinId="8" hidden="1"/>
    <cellStyle name="Hyperlink" xfId="279" builtinId="8" hidden="1"/>
    <cellStyle name="Hyperlink" xfId="274" builtinId="8" hidden="1"/>
    <cellStyle name="Hyperlink" xfId="267" builtinId="8" hidden="1"/>
    <cellStyle name="Hyperlink" xfId="269" builtinId="8" hidden="1"/>
    <cellStyle name="Hyperlink" xfId="262" builtinId="8" hidden="1"/>
    <cellStyle name="Hyperlink" xfId="271" builtinId="8" hidden="1"/>
    <cellStyle name="Hyperlink" xfId="283" builtinId="8" hidden="1"/>
    <cellStyle name="Hyperlink" xfId="295" builtinId="8" hidden="1"/>
    <cellStyle name="Hyperlink" xfId="291" builtinId="8" hidden="1"/>
    <cellStyle name="Hyperlink" xfId="289" builtinId="8" hidden="1"/>
    <cellStyle name="Hyperlink" xfId="293" builtinId="8" hidden="1"/>
    <cellStyle name="Hyperlink" xfId="285" builtinId="8" hidden="1"/>
    <cellStyle name="Hyperlink" xfId="287" builtinId="8" hidden="1"/>
    <cellStyle name="Hyperlink" xfId="281" builtinId="8" hidden="1"/>
    <cellStyle name="Hyperlink" xfId="304" builtinId="8" hidden="1"/>
    <cellStyle name="Hyperlink" xfId="308" builtinId="8" hidden="1"/>
    <cellStyle name="Hyperlink" xfId="311" builtinId="8" hidden="1"/>
    <cellStyle name="Hyperlink" xfId="306" builtinId="8" hidden="1"/>
    <cellStyle name="Hyperlink" xfId="313" builtinId="8" hidden="1"/>
    <cellStyle name="Hyperlink" xfId="317" builtinId="8" hidden="1"/>
    <cellStyle name="Hyperlink" xfId="320" builtinId="8" hidden="1"/>
    <cellStyle name="Hyperlink" xfId="315" builtinId="8" hidden="1"/>
    <cellStyle name="Hyperlink" xfId="322" builtinId="8" hidden="1"/>
    <cellStyle name="Hyperlink" xfId="326" builtinId="8" hidden="1"/>
    <cellStyle name="Hyperlink" xfId="328" builtinId="8" hidden="1"/>
    <cellStyle name="Hyperlink" xfId="324" builtinId="8" hidden="1"/>
    <cellStyle name="Hyperlink" xfId="330" builtinId="8" hidden="1"/>
    <cellStyle name="Hyperlink" xfId="334" builtinId="8" hidden="1"/>
    <cellStyle name="Hyperlink" xfId="336" builtinId="8" hidden="1"/>
    <cellStyle name="Hyperlink" xfId="332" builtinId="8" hidden="1"/>
    <cellStyle name="Hyperlink" xfId="338" builtinId="8" hidden="1"/>
    <cellStyle name="Hyperlink" xfId="344" builtinId="8" hidden="1"/>
    <cellStyle name="Hyperlink" xfId="348" builtinId="8" hidden="1"/>
    <cellStyle name="Hyperlink" xfId="342" builtinId="8" hidden="1"/>
    <cellStyle name="Hyperlink" xfId="350" builtinId="8" hidden="1"/>
    <cellStyle name="Hyperlink" xfId="355" builtinId="8" hidden="1"/>
    <cellStyle name="Hyperlink" xfId="358" builtinId="8" hidden="1"/>
    <cellStyle name="Hyperlink" xfId="353" builtinId="8" hidden="1"/>
    <cellStyle name="Hyperlink" xfId="360" builtinId="8" hidden="1"/>
    <cellStyle name="Hyperlink" xfId="364" builtinId="8" hidden="1"/>
    <cellStyle name="Hyperlink" xfId="366" builtinId="8" hidden="1"/>
    <cellStyle name="Hyperlink" xfId="362" builtinId="8" hidden="1"/>
    <cellStyle name="Hyperlink" xfId="368" builtinId="8" hidden="1"/>
    <cellStyle name="Hyperlink" xfId="372" builtinId="8" hidden="1"/>
    <cellStyle name="Hyperlink" xfId="374" builtinId="8" hidden="1"/>
    <cellStyle name="Hyperlink" xfId="370" builtinId="8" hidden="1"/>
    <cellStyle name="Hyperlink" xfId="346" builtinId="8" hidden="1"/>
    <cellStyle name="Hyperlink" xfId="300" builtinId="8" hidden="1"/>
    <cellStyle name="Hyperlink" xfId="378" builtinId="8" hidden="1"/>
    <cellStyle name="Hyperlink" xfId="298" builtinId="8" hidden="1"/>
    <cellStyle name="Hyperlink" xfId="380" builtinId="8" hidden="1"/>
    <cellStyle name="Hyperlink" xfId="385" builtinId="8" hidden="1"/>
    <cellStyle name="Hyperlink" xfId="388" builtinId="8" hidden="1"/>
    <cellStyle name="Hyperlink" xfId="383" builtinId="8" hidden="1"/>
    <cellStyle name="Hyperlink" xfId="390" builtinId="8" hidden="1"/>
    <cellStyle name="Hyperlink" xfId="394" builtinId="8" hidden="1"/>
    <cellStyle name="Hyperlink" xfId="396" builtinId="8" hidden="1"/>
    <cellStyle name="Hyperlink" xfId="392" builtinId="8" hidden="1"/>
    <cellStyle name="Hyperlink" xfId="398" builtinId="8" hidden="1"/>
    <cellStyle name="Hyperlink" xfId="402" builtinId="8" hidden="1"/>
    <cellStyle name="Hyperlink" xfId="404" builtinId="8" hidden="1"/>
    <cellStyle name="Hyperlink" xfId="400" builtinId="8" hidden="1"/>
    <cellStyle name="Hyperlink" xfId="376" builtinId="8" hidden="1"/>
    <cellStyle name="Hyperlink" xfId="357" builtinId="8" hidden="1"/>
    <cellStyle name="Hyperlink" xfId="407" builtinId="8" hidden="1"/>
    <cellStyle name="Hyperlink" xfId="352" builtinId="8" hidden="1"/>
    <cellStyle name="Hyperlink" xfId="409" builtinId="8" hidden="1"/>
    <cellStyle name="Hyperlink" xfId="413" builtinId="8" hidden="1"/>
    <cellStyle name="Hyperlink" xfId="415" builtinId="8" hidden="1"/>
    <cellStyle name="Hyperlink" xfId="411" builtinId="8" hidden="1"/>
    <cellStyle name="Hyperlink" xfId="417" builtinId="8" hidden="1"/>
    <cellStyle name="Hyperlink" xfId="421" builtinId="8" hidden="1"/>
    <cellStyle name="Hyperlink" xfId="423" builtinId="8" hidden="1"/>
    <cellStyle name="Hyperlink" xfId="419" builtinId="8" hidden="1"/>
    <cellStyle name="Hyperlink" xfId="425" builtinId="8" hidden="1"/>
    <cellStyle name="Hyperlink" xfId="429" builtinId="8" hidden="1"/>
    <cellStyle name="Hyperlink" xfId="431" builtinId="8" hidden="1"/>
    <cellStyle name="Hyperlink" xfId="427" builtinId="8" hidden="1"/>
    <cellStyle name="Hyperlink" xfId="406" builtinId="8" hidden="1"/>
    <cellStyle name="Hyperlink" xfId="387" builtinId="8" hidden="1"/>
    <cellStyle name="Hyperlink" xfId="433" builtinId="8" hidden="1"/>
    <cellStyle name="Hyperlink" xfId="382" builtinId="8" hidden="1"/>
    <cellStyle name="Hyperlink" xfId="435" builtinId="8" hidden="1"/>
    <cellStyle name="Hyperlink" xfId="439" builtinId="8" hidden="1"/>
    <cellStyle name="Hyperlink" xfId="441" builtinId="8" hidden="1"/>
    <cellStyle name="Hyperlink" xfId="437" builtinId="8" hidden="1"/>
    <cellStyle name="Hyperlink" xfId="443" builtinId="8" hidden="1"/>
    <cellStyle name="Hyperlink" xfId="447" builtinId="8" hidden="1"/>
    <cellStyle name="Hyperlink" xfId="449" builtinId="8" hidden="1"/>
    <cellStyle name="Hyperlink" xfId="445" builtinId="8" hidden="1"/>
    <cellStyle name="Hyperlink" xfId="451" builtinId="8" hidden="1"/>
    <cellStyle name="Hyperlink" xfId="455" builtinId="8" hidden="1"/>
    <cellStyle name="Hyperlink" xfId="457" builtinId="8" hidden="1"/>
    <cellStyle name="Hyperlink" xfId="453" builtinId="8" hidden="1"/>
    <cellStyle name="Hyperlink" xfId="273" builtinId="8" hidden="1"/>
    <cellStyle name="Hyperlink" xfId="459" builtinId="8" hidden="1"/>
    <cellStyle name="Hyperlink" xfId="461" builtinId="8" hidden="1"/>
    <cellStyle name="Hyperlink" xfId="256" builtinId="8" hidden="1"/>
    <cellStyle name="Hyperlink" xfId="319" builtinId="8" hidden="1"/>
    <cellStyle name="Hyperlink" xfId="259" builtinId="8" hidden="1"/>
    <cellStyle name="Hyperlink" xfId="264" builtinId="8" hidden="1"/>
    <cellStyle name="Hyperlink" xfId="260" builtinId="8" hidden="1"/>
    <cellStyle name="Hyperlink" xfId="465" builtinId="8" hidden="1"/>
    <cellStyle name="Hyperlink" xfId="477" builtinId="8" hidden="1"/>
    <cellStyle name="Hyperlink" xfId="473" builtinId="8" hidden="1"/>
    <cellStyle name="Hyperlink" xfId="471" builtinId="8" hidden="1"/>
    <cellStyle name="Hyperlink" xfId="475" builtinId="8" hidden="1"/>
    <cellStyle name="Hyperlink" xfId="467" builtinId="8" hidden="1"/>
    <cellStyle name="Hyperlink" xfId="469" builtinId="8" hidden="1"/>
    <cellStyle name="Hyperlink" xfId="463" builtinId="8" hidden="1"/>
    <cellStyle name="Hyperlink" xfId="486" builtinId="8" hidden="1"/>
    <cellStyle name="Hyperlink" xfId="490" builtinId="8" hidden="1"/>
    <cellStyle name="Hyperlink" xfId="492" builtinId="8" hidden="1"/>
    <cellStyle name="Hyperlink" xfId="488" builtinId="8" hidden="1"/>
    <cellStyle name="Hyperlink" xfId="494" builtinId="8" hidden="1"/>
    <cellStyle name="Hyperlink" xfId="498" builtinId="8" hidden="1"/>
    <cellStyle name="Hyperlink" xfId="500" builtinId="8" hidden="1"/>
    <cellStyle name="Hyperlink" xfId="496" builtinId="8" hidden="1"/>
    <cellStyle name="Hyperlink" xfId="502" builtinId="8" hidden="1"/>
    <cellStyle name="Hyperlink" xfId="506" builtinId="8" hidden="1"/>
    <cellStyle name="Hyperlink" xfId="508" builtinId="8" hidden="1"/>
    <cellStyle name="Hyperlink" xfId="504" builtinId="8" hidden="1"/>
    <cellStyle name="Hyperlink" xfId="510" builtinId="8" hidden="1"/>
    <cellStyle name="Hyperlink" xfId="514" builtinId="8" hidden="1"/>
    <cellStyle name="Hyperlink" xfId="516" builtinId="8" hidden="1"/>
    <cellStyle name="Hyperlink" xfId="512" builtinId="8" hidden="1"/>
    <cellStyle name="Hyperlink" xfId="518" builtinId="8" hidden="1"/>
    <cellStyle name="Hyperlink" xfId="524" builtinId="8" hidden="1"/>
    <cellStyle name="Hyperlink" xfId="528" builtinId="8" hidden="1"/>
    <cellStyle name="Hyperlink" xfId="522" builtinId="8" hidden="1"/>
    <cellStyle name="Hyperlink" xfId="530" builtinId="8" hidden="1"/>
    <cellStyle name="Hyperlink" xfId="535" builtinId="8" hidden="1"/>
    <cellStyle name="Hyperlink" xfId="538" builtinId="8" hidden="1"/>
    <cellStyle name="Hyperlink" xfId="533" builtinId="8" hidden="1"/>
    <cellStyle name="Hyperlink" xfId="540" builtinId="8" hidden="1"/>
    <cellStyle name="Hyperlink" xfId="544" builtinId="8" hidden="1"/>
    <cellStyle name="Hyperlink" xfId="546" builtinId="8" hidden="1"/>
    <cellStyle name="Hyperlink" xfId="542" builtinId="8" hidden="1"/>
    <cellStyle name="Hyperlink" xfId="548" builtinId="8" hidden="1"/>
    <cellStyle name="Hyperlink" xfId="552" builtinId="8" hidden="1"/>
    <cellStyle name="Hyperlink" xfId="554" builtinId="8" hidden="1"/>
    <cellStyle name="Hyperlink" xfId="550" builtinId="8" hidden="1"/>
    <cellStyle name="Hyperlink" xfId="526" builtinId="8" hidden="1"/>
    <cellStyle name="Hyperlink" xfId="482" builtinId="8" hidden="1"/>
    <cellStyle name="Hyperlink" xfId="558" builtinId="8" hidden="1"/>
    <cellStyle name="Hyperlink" xfId="480" builtinId="8" hidden="1"/>
    <cellStyle name="Hyperlink" xfId="560" builtinId="8" hidden="1"/>
    <cellStyle name="Hyperlink" xfId="565" builtinId="8" hidden="1"/>
    <cellStyle name="Hyperlink" xfId="568" builtinId="8" hidden="1"/>
    <cellStyle name="Hyperlink" xfId="563" builtinId="8" hidden="1"/>
    <cellStyle name="Hyperlink" xfId="570" builtinId="8" hidden="1"/>
    <cellStyle name="Hyperlink" xfId="574" builtinId="8" hidden="1"/>
    <cellStyle name="Hyperlink" xfId="576" builtinId="8" hidden="1"/>
    <cellStyle name="Hyperlink" xfId="572" builtinId="8" hidden="1"/>
    <cellStyle name="Hyperlink" xfId="578" builtinId="8" hidden="1"/>
    <cellStyle name="Hyperlink" xfId="582" builtinId="8" hidden="1"/>
    <cellStyle name="Hyperlink" xfId="584" builtinId="8" hidden="1"/>
    <cellStyle name="Hyperlink" xfId="580" builtinId="8" hidden="1"/>
    <cellStyle name="Hyperlink" xfId="556" builtinId="8" hidden="1"/>
    <cellStyle name="Hyperlink" xfId="537" builtinId="8" hidden="1"/>
    <cellStyle name="Hyperlink" xfId="587" builtinId="8" hidden="1"/>
    <cellStyle name="Hyperlink" xfId="532" builtinId="8" hidden="1"/>
    <cellStyle name="Hyperlink" xfId="589" builtinId="8" hidden="1"/>
    <cellStyle name="Hyperlink" xfId="593" builtinId="8" hidden="1"/>
    <cellStyle name="Hyperlink" xfId="595" builtinId="8" hidden="1"/>
    <cellStyle name="Hyperlink" xfId="591" builtinId="8" hidden="1"/>
    <cellStyle name="Hyperlink" xfId="597" builtinId="8" hidden="1"/>
    <cellStyle name="Hyperlink" xfId="601" builtinId="8" hidden="1"/>
    <cellStyle name="Hyperlink" xfId="603" builtinId="8" hidden="1"/>
    <cellStyle name="Hyperlink" xfId="599" builtinId="8" hidden="1"/>
    <cellStyle name="Hyperlink" xfId="605" builtinId="8" hidden="1"/>
    <cellStyle name="Hyperlink" xfId="609" builtinId="8" hidden="1"/>
    <cellStyle name="Hyperlink" xfId="611" builtinId="8" hidden="1"/>
    <cellStyle name="Hyperlink" xfId="607" builtinId="8" hidden="1"/>
    <cellStyle name="Hyperlink" xfId="586" builtinId="8" hidden="1"/>
    <cellStyle name="Hyperlink" xfId="567" builtinId="8" hidden="1"/>
    <cellStyle name="Hyperlink" xfId="613" builtinId="8" hidden="1"/>
    <cellStyle name="Hyperlink" xfId="562" builtinId="8" hidden="1"/>
    <cellStyle name="Hyperlink" xfId="615" builtinId="8" hidden="1"/>
    <cellStyle name="Hyperlink" xfId="619" builtinId="8" hidden="1"/>
    <cellStyle name="Hyperlink" xfId="621" builtinId="8" hidden="1"/>
    <cellStyle name="Hyperlink" xfId="617" builtinId="8" hidden="1"/>
    <cellStyle name="Hyperlink" xfId="623" builtinId="8" hidden="1"/>
    <cellStyle name="Hyperlink" xfId="627" builtinId="8" hidden="1"/>
    <cellStyle name="Hyperlink" xfId="629" builtinId="8" hidden="1"/>
    <cellStyle name="Hyperlink" xfId="625" builtinId="8" hidden="1"/>
    <cellStyle name="Hyperlink" xfId="631" builtinId="8" hidden="1"/>
    <cellStyle name="Hyperlink" xfId="635" builtinId="8" hidden="1"/>
    <cellStyle name="Hyperlink" xfId="637" builtinId="8" hidden="1"/>
    <cellStyle name="Hyperlink" xfId="633" builtinId="8" hidden="1"/>
    <cellStyle name="Normal" xfId="0" builtinId="0"/>
    <cellStyle name="Normal 2" xfId="2"/>
    <cellStyle name="Normal 3" xfId="7"/>
    <cellStyle name="Normal 3 2" xfId="13"/>
    <cellStyle name="Normal 3 2 2" xfId="25"/>
    <cellStyle name="Normal 3 2 2 2" xfId="115"/>
    <cellStyle name="Normal 3 2 2 3" xfId="68"/>
    <cellStyle name="Normal 3 2 3" xfId="103"/>
    <cellStyle name="Normal 3 2 4" xfId="56"/>
    <cellStyle name="Normal 3 3" xfId="19"/>
    <cellStyle name="Normal 3 3 2" xfId="109"/>
    <cellStyle name="Normal 3 3 3" xfId="62"/>
    <cellStyle name="Normal 3 4" xfId="97"/>
    <cellStyle name="Normal 3 5" xfId="50"/>
    <cellStyle name="Percent 2" xfId="4"/>
    <cellStyle name="Percent 3" xfId="8"/>
    <cellStyle name="Percent 3 2" xfId="14"/>
    <cellStyle name="Percent 3 2 2" xfId="26"/>
    <cellStyle name="Percent 3 2 2 2" xfId="116"/>
    <cellStyle name="Percent 3 2 2 3" xfId="69"/>
    <cellStyle name="Percent 3 2 3" xfId="104"/>
    <cellStyle name="Percent 3 2 4" xfId="57"/>
    <cellStyle name="Percent 3 3" xfId="20"/>
    <cellStyle name="Percent 3 3 2" xfId="110"/>
    <cellStyle name="Percent 3 3 3" xfId="63"/>
    <cellStyle name="Percent 3 4" xfId="98"/>
    <cellStyle name="Percent 3 5" xfId="51"/>
  </cellStyles>
  <dxfs count="0"/>
  <tableStyles count="0" defaultTableStyle="TableStyleMedium9" defaultPivotStyle="PivotStyleLight16"/>
  <colors>
    <mruColors>
      <color rgb="FFFFFFFF"/>
      <color rgb="FFFFFFCC"/>
      <color rgb="FFF2F2F2"/>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11" Type="http://schemas.microsoft.com/office/2006/relationships/vbaProject" Target="vbaProject.bin"/><Relationship Id="rId5" Type="http://schemas.openxmlformats.org/officeDocument/2006/relationships/calcChain" Target="calcChain.xml"/><Relationship Id="rId10" Type="http://schemas.openxmlformats.org/officeDocument/2006/relationships/customXml" Target="../customXml/item5.xml"/><Relationship Id="rId4" Type="http://schemas.openxmlformats.org/officeDocument/2006/relationships/sharedStrings" Target="sharedStrings.xml"/><Relationship Id="rId9" Type="http://schemas.openxmlformats.org/officeDocument/2006/relationships/customXml" Target="../customXml/item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3"/>
  <sheetViews>
    <sheetView tabSelected="1" view="pageLayout" zoomScale="80" zoomScaleNormal="100" zoomScalePageLayoutView="80" workbookViewId="0">
      <selection activeCell="H6" sqref="H6"/>
    </sheetView>
  </sheetViews>
  <sheetFormatPr defaultColWidth="8.7109375" defaultRowHeight="12.75" x14ac:dyDescent="0.2"/>
  <cols>
    <col min="1" max="1" width="7" customWidth="1"/>
    <col min="2" max="2" width="24.7109375" customWidth="1"/>
    <col min="3" max="3" width="18.28515625" customWidth="1"/>
    <col min="4" max="4" width="18" customWidth="1"/>
    <col min="5" max="5" width="12.42578125" customWidth="1"/>
    <col min="6" max="6" width="4.42578125" customWidth="1"/>
    <col min="7" max="7" width="13" customWidth="1"/>
    <col min="8" max="8" width="14" customWidth="1"/>
    <col min="9" max="9" width="4.42578125" customWidth="1"/>
    <col min="10" max="10" width="14.140625" customWidth="1"/>
    <col min="11" max="11" width="32.140625" customWidth="1"/>
  </cols>
  <sheetData>
    <row r="1" spans="1:11" x14ac:dyDescent="0.2">
      <c r="A1" s="60" t="s">
        <v>0</v>
      </c>
      <c r="B1" s="61"/>
      <c r="C1" s="1"/>
      <c r="D1" s="1"/>
      <c r="E1" s="1"/>
      <c r="F1" s="1"/>
      <c r="G1" s="1"/>
      <c r="H1" s="1"/>
      <c r="I1" s="1"/>
      <c r="J1" s="1"/>
      <c r="K1" s="1"/>
    </row>
    <row r="2" spans="1:11" ht="88.5" customHeight="1" x14ac:dyDescent="0.2">
      <c r="A2" s="54" t="s">
        <v>33</v>
      </c>
      <c r="B2" s="55"/>
      <c r="C2" s="55"/>
      <c r="D2" s="55"/>
      <c r="E2" s="55"/>
      <c r="F2" s="55"/>
      <c r="G2" s="55"/>
      <c r="H2" s="55"/>
      <c r="I2" s="55"/>
      <c r="J2" s="55"/>
      <c r="K2" s="18"/>
    </row>
    <row r="3" spans="1:11" ht="26.25" customHeight="1" x14ac:dyDescent="0.2">
      <c r="A3" s="54" t="s">
        <v>31</v>
      </c>
      <c r="B3" s="54"/>
      <c r="C3" s="54"/>
      <c r="D3" s="54"/>
      <c r="E3" s="54"/>
      <c r="F3" s="54"/>
      <c r="G3" s="54"/>
      <c r="H3" s="54"/>
      <c r="I3" s="54"/>
      <c r="J3" s="54"/>
      <c r="K3" s="27"/>
    </row>
    <row r="4" spans="1:11" ht="25.5" customHeight="1" x14ac:dyDescent="0.2">
      <c r="A4" s="27"/>
      <c r="B4" s="74" t="s">
        <v>32</v>
      </c>
      <c r="C4" s="74"/>
      <c r="D4" s="74"/>
      <c r="E4" s="74"/>
      <c r="F4" s="74"/>
      <c r="G4" s="74"/>
      <c r="H4" s="28"/>
      <c r="I4" s="28"/>
      <c r="J4" s="28"/>
      <c r="K4" s="27"/>
    </row>
    <row r="5" spans="1:11" ht="38.25" x14ac:dyDescent="0.2">
      <c r="B5" s="40" t="s">
        <v>17</v>
      </c>
      <c r="C5" s="40" t="s">
        <v>27</v>
      </c>
      <c r="D5" s="40" t="s">
        <v>28</v>
      </c>
      <c r="E5" s="40" t="s">
        <v>29</v>
      </c>
      <c r="F5" s="75" t="s">
        <v>30</v>
      </c>
      <c r="G5" s="76"/>
      <c r="H5" s="28"/>
      <c r="I5" s="28"/>
      <c r="J5" s="28"/>
      <c r="K5" s="27"/>
    </row>
    <row r="6" spans="1:11" x14ac:dyDescent="0.2">
      <c r="B6" s="41" t="s">
        <v>18</v>
      </c>
      <c r="C6" s="45">
        <v>12</v>
      </c>
      <c r="D6" s="45">
        <v>6</v>
      </c>
      <c r="E6" s="45">
        <v>45</v>
      </c>
      <c r="F6" s="77">
        <v>10</v>
      </c>
      <c r="G6" s="78"/>
      <c r="H6" s="28"/>
      <c r="I6" s="28"/>
      <c r="J6" s="28"/>
      <c r="K6" s="27"/>
    </row>
    <row r="7" spans="1:11" x14ac:dyDescent="0.2">
      <c r="B7" s="42" t="s">
        <v>19</v>
      </c>
      <c r="C7" s="46">
        <v>12</v>
      </c>
      <c r="D7" s="46">
        <v>6</v>
      </c>
      <c r="E7" s="46">
        <v>45</v>
      </c>
      <c r="F7" s="56">
        <v>10</v>
      </c>
      <c r="G7" s="57"/>
      <c r="H7" s="48"/>
      <c r="I7" s="48"/>
      <c r="J7" s="48"/>
      <c r="K7" s="27"/>
    </row>
    <row r="8" spans="1:11" ht="12.75" customHeight="1" x14ac:dyDescent="0.2">
      <c r="B8" s="43" t="s">
        <v>20</v>
      </c>
      <c r="C8" s="46">
        <v>14</v>
      </c>
      <c r="D8" s="46">
        <v>7</v>
      </c>
      <c r="E8" s="46">
        <v>45</v>
      </c>
      <c r="F8" s="56">
        <v>10</v>
      </c>
      <c r="G8" s="57"/>
      <c r="H8" s="48"/>
      <c r="I8" s="48"/>
      <c r="J8" s="48"/>
      <c r="K8" s="27"/>
    </row>
    <row r="9" spans="1:11" x14ac:dyDescent="0.2">
      <c r="B9" s="42" t="s">
        <v>21</v>
      </c>
      <c r="C9" s="46">
        <v>14</v>
      </c>
      <c r="D9" s="46">
        <v>7</v>
      </c>
      <c r="E9" s="46">
        <v>45</v>
      </c>
      <c r="F9" s="56">
        <v>10</v>
      </c>
      <c r="G9" s="57"/>
      <c r="H9" s="48"/>
      <c r="I9" s="48"/>
      <c r="J9" s="48"/>
      <c r="K9" s="27"/>
    </row>
    <row r="10" spans="1:11" x14ac:dyDescent="0.2">
      <c r="B10" s="42" t="s">
        <v>22</v>
      </c>
      <c r="C10" s="46">
        <v>12</v>
      </c>
      <c r="D10" s="46">
        <v>6</v>
      </c>
      <c r="E10" s="46">
        <v>45</v>
      </c>
      <c r="F10" s="56">
        <v>10</v>
      </c>
      <c r="G10" s="57"/>
      <c r="H10" s="48"/>
      <c r="I10" s="48"/>
      <c r="J10" s="48"/>
      <c r="K10" s="27"/>
    </row>
    <row r="11" spans="1:11" x14ac:dyDescent="0.2">
      <c r="B11" s="42" t="s">
        <v>23</v>
      </c>
      <c r="C11" s="46">
        <v>12</v>
      </c>
      <c r="D11" s="46">
        <v>6</v>
      </c>
      <c r="E11" s="46">
        <v>45</v>
      </c>
      <c r="F11" s="56">
        <v>10</v>
      </c>
      <c r="G11" s="57"/>
      <c r="H11" s="48"/>
      <c r="I11" s="48"/>
      <c r="J11" s="48"/>
      <c r="K11" s="27"/>
    </row>
    <row r="12" spans="1:11" x14ac:dyDescent="0.2">
      <c r="B12" s="42" t="s">
        <v>24</v>
      </c>
      <c r="C12" s="46">
        <v>14</v>
      </c>
      <c r="D12" s="46">
        <v>7</v>
      </c>
      <c r="E12" s="46">
        <v>45</v>
      </c>
      <c r="F12" s="56">
        <v>10</v>
      </c>
      <c r="G12" s="57"/>
      <c r="H12" s="48"/>
      <c r="I12" s="48"/>
      <c r="J12" s="48"/>
      <c r="K12" s="27"/>
    </row>
    <row r="13" spans="1:11" x14ac:dyDescent="0.2">
      <c r="B13" s="42" t="s">
        <v>25</v>
      </c>
      <c r="C13" s="46">
        <v>14</v>
      </c>
      <c r="D13" s="46">
        <v>7</v>
      </c>
      <c r="E13" s="46">
        <v>45</v>
      </c>
      <c r="F13" s="56">
        <v>10</v>
      </c>
      <c r="G13" s="57"/>
      <c r="H13" s="48"/>
      <c r="I13" s="48"/>
      <c r="J13" s="48"/>
      <c r="K13" s="27"/>
    </row>
    <row r="14" spans="1:11" x14ac:dyDescent="0.2">
      <c r="B14" s="44" t="s">
        <v>26</v>
      </c>
      <c r="C14" s="47">
        <v>12</v>
      </c>
      <c r="D14" s="47">
        <v>6</v>
      </c>
      <c r="E14" s="47">
        <v>45</v>
      </c>
      <c r="F14" s="58">
        <v>10</v>
      </c>
      <c r="G14" s="59"/>
      <c r="H14" s="48"/>
      <c r="I14" s="48"/>
      <c r="J14" s="48"/>
      <c r="K14" s="27"/>
    </row>
    <row r="15" spans="1:11" x14ac:dyDescent="0.2">
      <c r="A15" s="27"/>
      <c r="B15" s="28"/>
      <c r="C15" s="28"/>
      <c r="D15" s="28"/>
      <c r="E15" s="28"/>
      <c r="F15" s="28"/>
      <c r="G15" s="28"/>
      <c r="H15" s="28"/>
      <c r="I15" s="28"/>
      <c r="J15" s="28"/>
      <c r="K15" s="27"/>
    </row>
    <row r="16" spans="1:11" ht="48" customHeight="1" x14ac:dyDescent="0.2">
      <c r="A16" s="54" t="s">
        <v>35</v>
      </c>
      <c r="B16" s="54"/>
      <c r="C16" s="54"/>
      <c r="D16" s="54"/>
      <c r="E16" s="54"/>
      <c r="F16" s="54"/>
      <c r="G16" s="54"/>
      <c r="H16" s="54"/>
      <c r="I16" s="54"/>
      <c r="J16" s="54"/>
      <c r="K16" s="18"/>
    </row>
    <row r="17" spans="1:11" ht="48" customHeight="1" x14ac:dyDescent="0.2">
      <c r="A17" s="54" t="s">
        <v>37</v>
      </c>
      <c r="B17" s="55"/>
      <c r="C17" s="55"/>
      <c r="D17" s="55"/>
      <c r="E17" s="55"/>
      <c r="F17" s="55"/>
      <c r="G17" s="55"/>
      <c r="H17" s="55"/>
      <c r="I17" s="55"/>
      <c r="J17" s="55"/>
      <c r="K17" s="49"/>
    </row>
    <row r="18" spans="1:11" ht="88.5" customHeight="1" x14ac:dyDescent="0.2">
      <c r="A18" s="54" t="s">
        <v>8</v>
      </c>
      <c r="B18" s="54"/>
      <c r="C18" s="54"/>
      <c r="D18" s="54"/>
      <c r="E18" s="54"/>
      <c r="F18" s="54"/>
      <c r="G18" s="54"/>
      <c r="H18" s="54"/>
      <c r="I18" s="54"/>
      <c r="J18" s="54"/>
      <c r="K18" s="18"/>
    </row>
    <row r="19" spans="1:11" ht="13.5" thickBot="1" x14ac:dyDescent="0.25">
      <c r="A19" s="27"/>
      <c r="B19" s="28"/>
      <c r="C19" s="28"/>
      <c r="D19" s="28"/>
      <c r="E19" s="28"/>
      <c r="F19" s="28"/>
      <c r="G19" s="28"/>
      <c r="H19" s="28"/>
      <c r="I19" s="28"/>
      <c r="J19" s="28"/>
      <c r="K19" s="27"/>
    </row>
    <row r="20" spans="1:11" ht="30" customHeight="1" thickBot="1" x14ac:dyDescent="0.25">
      <c r="A20" s="69" t="s">
        <v>1</v>
      </c>
      <c r="B20" s="70"/>
      <c r="C20" s="71"/>
      <c r="D20" s="72"/>
      <c r="E20" s="72"/>
      <c r="F20" s="73"/>
    </row>
    <row r="21" spans="1:11" ht="72" customHeight="1" thickBot="1" x14ac:dyDescent="0.25">
      <c r="A21" s="65" t="s">
        <v>2</v>
      </c>
      <c r="B21" s="66"/>
      <c r="C21" s="50" t="s">
        <v>3</v>
      </c>
      <c r="D21" s="51" t="s">
        <v>4</v>
      </c>
      <c r="E21" s="52" t="s">
        <v>36</v>
      </c>
      <c r="F21" s="67" t="s">
        <v>5</v>
      </c>
      <c r="G21" s="68"/>
      <c r="H21" s="53" t="s">
        <v>34</v>
      </c>
      <c r="I21" s="67" t="s">
        <v>7</v>
      </c>
      <c r="J21" s="68"/>
    </row>
    <row r="22" spans="1:11" ht="13.5" thickBot="1" x14ac:dyDescent="0.25">
      <c r="A22" s="13">
        <v>1</v>
      </c>
      <c r="B22" s="2"/>
      <c r="C22" s="19" t="s">
        <v>9</v>
      </c>
      <c r="D22" s="2"/>
      <c r="E22" s="2"/>
      <c r="F22" s="10" t="s">
        <v>6</v>
      </c>
      <c r="G22" s="7"/>
      <c r="H22" s="26">
        <v>120</v>
      </c>
      <c r="I22" s="23" t="s">
        <v>6</v>
      </c>
      <c r="J22" s="24">
        <f xml:space="preserve"> H22*G22</f>
        <v>0</v>
      </c>
    </row>
    <row r="23" spans="1:11" ht="13.5" thickBot="1" x14ac:dyDescent="0.25">
      <c r="A23" s="13">
        <v>1</v>
      </c>
      <c r="B23" s="2"/>
      <c r="C23" s="19" t="s">
        <v>10</v>
      </c>
      <c r="D23" s="2"/>
      <c r="E23" s="2"/>
      <c r="F23" s="10" t="s">
        <v>6</v>
      </c>
      <c r="G23" s="7"/>
      <c r="H23" s="26">
        <v>540</v>
      </c>
      <c r="I23" s="23" t="s">
        <v>6</v>
      </c>
      <c r="J23" s="24">
        <f xml:space="preserve"> H23*G23</f>
        <v>0</v>
      </c>
    </row>
    <row r="24" spans="1:11" ht="51.75" thickBot="1" x14ac:dyDescent="0.25">
      <c r="A24" s="13">
        <v>1</v>
      </c>
      <c r="B24" s="2"/>
      <c r="C24" s="19" t="s">
        <v>11</v>
      </c>
      <c r="D24" s="2"/>
      <c r="E24" s="2"/>
      <c r="F24" s="10" t="s">
        <v>6</v>
      </c>
      <c r="G24" s="7"/>
      <c r="H24" s="5">
        <v>540</v>
      </c>
      <c r="I24" s="23" t="s">
        <v>6</v>
      </c>
      <c r="J24" s="21">
        <f xml:space="preserve"> H24*G24</f>
        <v>0</v>
      </c>
    </row>
    <row r="25" spans="1:11" ht="51.75" thickBot="1" x14ac:dyDescent="0.25">
      <c r="A25" s="14">
        <f>A24+1</f>
        <v>2</v>
      </c>
      <c r="B25" s="3"/>
      <c r="C25" s="19" t="s">
        <v>11</v>
      </c>
      <c r="D25" s="3"/>
      <c r="E25" s="3"/>
      <c r="F25" s="11" t="s">
        <v>6</v>
      </c>
      <c r="G25" s="8"/>
      <c r="H25" s="6">
        <v>540</v>
      </c>
      <c r="I25" s="25" t="s">
        <v>6</v>
      </c>
      <c r="J25" s="22">
        <f>H25*G25</f>
        <v>0</v>
      </c>
    </row>
    <row r="26" spans="1:11" ht="51.75" thickBot="1" x14ac:dyDescent="0.25">
      <c r="A26" s="15">
        <f t="shared" ref="A26" si="0">A25+1</f>
        <v>3</v>
      </c>
      <c r="B26" s="4"/>
      <c r="C26" s="37" t="s">
        <v>11</v>
      </c>
      <c r="D26" s="4"/>
      <c r="E26" s="4"/>
      <c r="F26" s="38" t="s">
        <v>6</v>
      </c>
      <c r="G26" s="9"/>
      <c r="H26" s="39">
        <v>540</v>
      </c>
      <c r="I26" s="34" t="s">
        <v>6</v>
      </c>
      <c r="J26" s="32">
        <f t="shared" ref="J26:J27" si="1">H26*G26</f>
        <v>0</v>
      </c>
    </row>
    <row r="27" spans="1:11" ht="26.25" thickBot="1" x14ac:dyDescent="0.25">
      <c r="A27" s="29">
        <v>1</v>
      </c>
      <c r="B27" s="30"/>
      <c r="C27" s="35" t="s">
        <v>16</v>
      </c>
      <c r="D27" s="30"/>
      <c r="E27" s="30"/>
      <c r="F27" s="12" t="s">
        <v>6</v>
      </c>
      <c r="G27" s="31"/>
      <c r="H27" s="36">
        <v>540</v>
      </c>
      <c r="I27" s="17" t="s">
        <v>6</v>
      </c>
      <c r="J27" s="33">
        <f t="shared" si="1"/>
        <v>0</v>
      </c>
    </row>
    <row r="28" spans="1:11" ht="26.25" thickBot="1" x14ac:dyDescent="0.25">
      <c r="A28" s="13">
        <v>1</v>
      </c>
      <c r="B28" s="2"/>
      <c r="C28" s="19" t="s">
        <v>12</v>
      </c>
      <c r="D28" s="2"/>
      <c r="E28" s="2"/>
      <c r="F28" s="10" t="s">
        <v>6</v>
      </c>
      <c r="G28" s="7"/>
      <c r="H28" s="5">
        <v>540</v>
      </c>
      <c r="I28" s="23" t="s">
        <v>6</v>
      </c>
      <c r="J28" s="21">
        <f xml:space="preserve"> H28*G28</f>
        <v>0</v>
      </c>
    </row>
    <row r="29" spans="1:11" ht="26.25" thickBot="1" x14ac:dyDescent="0.25">
      <c r="A29" s="14">
        <f>A28+1</f>
        <v>2</v>
      </c>
      <c r="B29" s="3"/>
      <c r="C29" s="19" t="s">
        <v>12</v>
      </c>
      <c r="D29" s="3"/>
      <c r="E29" s="3"/>
      <c r="F29" s="11" t="s">
        <v>6</v>
      </c>
      <c r="G29" s="8"/>
      <c r="H29" s="6">
        <v>540</v>
      </c>
      <c r="I29" s="25" t="s">
        <v>6</v>
      </c>
      <c r="J29" s="22">
        <f>H29*G29</f>
        <v>0</v>
      </c>
    </row>
    <row r="30" spans="1:11" ht="26.25" thickBot="1" x14ac:dyDescent="0.25">
      <c r="A30" s="14">
        <f t="shared" ref="A30" si="2">A29+1</f>
        <v>3</v>
      </c>
      <c r="B30" s="3"/>
      <c r="C30" s="19" t="s">
        <v>12</v>
      </c>
      <c r="D30" s="3"/>
      <c r="E30" s="3"/>
      <c r="F30" s="11" t="s">
        <v>6</v>
      </c>
      <c r="G30" s="8"/>
      <c r="H30" s="36">
        <v>540</v>
      </c>
      <c r="I30" s="34" t="s">
        <v>6</v>
      </c>
      <c r="J30" s="22">
        <f t="shared" ref="J30" si="3">H30*G30</f>
        <v>0</v>
      </c>
    </row>
    <row r="31" spans="1:11" ht="19.5" customHeight="1" thickBot="1" x14ac:dyDescent="0.25">
      <c r="D31" s="62" t="s">
        <v>13</v>
      </c>
      <c r="E31" s="63"/>
      <c r="F31" s="63"/>
      <c r="G31" s="63"/>
      <c r="H31" s="64"/>
      <c r="I31" s="16" t="s">
        <v>6</v>
      </c>
      <c r="J31" s="20">
        <f xml:space="preserve"> SUM(J22:J30)</f>
        <v>0</v>
      </c>
    </row>
    <row r="32" spans="1:11" ht="19.5" customHeight="1" thickBot="1" x14ac:dyDescent="0.25">
      <c r="D32" s="62" t="s">
        <v>14</v>
      </c>
      <c r="E32" s="63"/>
      <c r="F32" s="63"/>
      <c r="G32" s="63"/>
      <c r="H32" s="64"/>
      <c r="I32" s="16" t="s">
        <v>6</v>
      </c>
      <c r="J32" s="20">
        <v>98820</v>
      </c>
    </row>
    <row r="33" spans="4:10" ht="19.5" customHeight="1" thickBot="1" x14ac:dyDescent="0.25">
      <c r="D33" s="62" t="s">
        <v>15</v>
      </c>
      <c r="E33" s="63"/>
      <c r="F33" s="63"/>
      <c r="G33" s="63"/>
      <c r="H33" s="64"/>
      <c r="I33" s="16" t="s">
        <v>6</v>
      </c>
      <c r="J33" s="20">
        <f>J32+J31</f>
        <v>98820</v>
      </c>
    </row>
  </sheetData>
  <mergeCells count="25">
    <mergeCell ref="F9:G9"/>
    <mergeCell ref="F10:G10"/>
    <mergeCell ref="F11:G11"/>
    <mergeCell ref="F12:G12"/>
    <mergeCell ref="A3:J3"/>
    <mergeCell ref="B4:G4"/>
    <mergeCell ref="F5:G5"/>
    <mergeCell ref="F6:G6"/>
    <mergeCell ref="F7:G7"/>
    <mergeCell ref="A17:J17"/>
    <mergeCell ref="F13:G13"/>
    <mergeCell ref="F14:G14"/>
    <mergeCell ref="A1:B1"/>
    <mergeCell ref="D33:H33"/>
    <mergeCell ref="D31:H31"/>
    <mergeCell ref="D32:H32"/>
    <mergeCell ref="A2:J2"/>
    <mergeCell ref="A18:J18"/>
    <mergeCell ref="A16:J16"/>
    <mergeCell ref="A21:B21"/>
    <mergeCell ref="F21:G21"/>
    <mergeCell ref="I21:J21"/>
    <mergeCell ref="A20:B20"/>
    <mergeCell ref="C20:F20"/>
    <mergeCell ref="F8:G8"/>
  </mergeCells>
  <phoneticPr fontId="12" type="noConversion"/>
  <pageMargins left="0.41666666666666669" right="0.39583333333333331" top="1.0208333333333333" bottom="0.5078125" header="0.3" footer="0.3"/>
  <pageSetup scale="97" orientation="landscape" r:id="rId1"/>
  <headerFooter>
    <oddHeader>&amp;LOffice of Systems Integration&amp;C&amp;"Arial,Bold"&amp;13ATTACHMENT II-La
STAFF COST WORKSHEET&amp;RRequest for Offer #32051
Page &amp;P of &amp;N</oddHeader>
  </headerFooter>
  <rowBreaks count="1" manualBreakCount="1">
    <brk id="19" max="16383" man="1"/>
  </rowBreaks>
  <ignoredErrors>
    <ignoredError sqref="J23 J24 J28"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E07523BA78D584982DF6519A6CB90E0" ma:contentTypeVersion="2" ma:contentTypeDescription="Create a new document." ma:contentTypeScope="" ma:versionID="e1221f5a6f62722b2829151e6c5431d5">
  <xsd:schema xmlns:xsd="http://www.w3.org/2001/XMLSchema" xmlns:xs="http://www.w3.org/2001/XMLSchema" xmlns:p="http://schemas.microsoft.com/office/2006/metadata/properties" xmlns:ns2="500343c0-af67-4d55-b6f3-a7838e163d14" xmlns:ns3="9f7ad9af-9717-4e4f-970f-35ad513ce12f" targetNamespace="http://schemas.microsoft.com/office/2006/metadata/properties" ma:root="true" ma:fieldsID="73dd08f28171260f253eea7e1eb8ce05" ns2:_="" ns3:_="">
    <xsd:import namespace="500343c0-af67-4d55-b6f3-a7838e163d14"/>
    <xsd:import namespace="9f7ad9af-9717-4e4f-970f-35ad513ce12f"/>
    <xsd:element name="properties">
      <xsd:complexType>
        <xsd:sequence>
          <xsd:element name="documentManagement">
            <xsd:complexType>
              <xsd:all>
                <xsd:element ref="ns2:_dlc_DocId" minOccurs="0"/>
                <xsd:element ref="ns2:_dlc_DocIdUrl" minOccurs="0"/>
                <xsd:element ref="ns2:_dlc_DocIdPersistId"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00343c0-af67-4d55-b6f3-a7838e163d1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9f7ad9af-9717-4e4f-970f-35ad513ce12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_dlc_DocId xmlns="500343c0-af67-4d55-b6f3-a7838e163d14">PROJ-1131860116-25</_dlc_DocId>
    <_dlc_DocIdUrl xmlns="500343c0-af67-4d55-b6f3-a7838e163d14">
      <Url>https://osicagov.sharepoint.com/sites/projects/CWS-NS/Licensing/_layouts/15/DocIdRedir.aspx?ID=PROJ-1131860116-25</Url>
      <Description>PROJ-1131860116-25</Description>
    </_dlc_DocIdUrl>
    <SharedWithUsers xmlns="9f7ad9af-9717-4e4f-970f-35ad513ce12f">
      <UserInfo>
        <DisplayName/>
        <AccountId xsi:nil="true"/>
        <AccountType/>
      </UserInfo>
    </SharedWithUsers>
  </documentManagement>
</p:properties>
</file>

<file path=customXml/item5.xml><?xml version="1.0" encoding="utf-8"?>
<?mso-contentType ?>
<SharedContentType xmlns="Microsoft.SharePoint.Taxonomy.ContentTypeSync" SourceId="5bce90d6-5a2c-47e0-8337-aac7acda0e97" ContentTypeId="0x0101" PreviousValue="false"/>
</file>

<file path=customXml/itemProps1.xml><?xml version="1.0" encoding="utf-8"?>
<ds:datastoreItem xmlns:ds="http://schemas.openxmlformats.org/officeDocument/2006/customXml" ds:itemID="{A67455C7-B6E2-44A7-B05E-639FD8A10516}">
  <ds:schemaRefs>
    <ds:schemaRef ds:uri="http://schemas.microsoft.com/sharepoint/v3/contenttype/forms"/>
  </ds:schemaRefs>
</ds:datastoreItem>
</file>

<file path=customXml/itemProps2.xml><?xml version="1.0" encoding="utf-8"?>
<ds:datastoreItem xmlns:ds="http://schemas.openxmlformats.org/officeDocument/2006/customXml" ds:itemID="{1BF44AEC-09C6-417D-AEED-85A4A81C874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00343c0-af67-4d55-b6f3-a7838e163d14"/>
    <ds:schemaRef ds:uri="9f7ad9af-9717-4e4f-970f-35ad513ce1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9AB98AF-A6E0-4833-802F-DE761BA94FC8}">
  <ds:schemaRefs>
    <ds:schemaRef ds:uri="http://schemas.microsoft.com/sharepoint/events"/>
  </ds:schemaRefs>
</ds:datastoreItem>
</file>

<file path=customXml/itemProps4.xml><?xml version="1.0" encoding="utf-8"?>
<ds:datastoreItem xmlns:ds="http://schemas.openxmlformats.org/officeDocument/2006/customXml" ds:itemID="{7A358AAD-D84A-4F38-98E7-EBC8503D4934}">
  <ds:schemaRefs>
    <ds:schemaRef ds:uri="http://purl.org/dc/dcmitype/"/>
    <ds:schemaRef ds:uri="http://www.w3.org/XML/1998/namespace"/>
    <ds:schemaRef ds:uri="500343c0-af67-4d55-b6f3-a7838e163d14"/>
    <ds:schemaRef ds:uri="http://schemas.openxmlformats.org/package/2006/metadata/core-properties"/>
    <ds:schemaRef ds:uri="http://schemas.microsoft.com/office/2006/metadata/properties"/>
    <ds:schemaRef ds:uri="http://schemas.microsoft.com/office/2006/documentManagement/types"/>
    <ds:schemaRef ds:uri="http://purl.org/dc/elements/1.1/"/>
    <ds:schemaRef ds:uri="http://schemas.microsoft.com/office/infopath/2007/PartnerControls"/>
    <ds:schemaRef ds:uri="9f7ad9af-9717-4e4f-970f-35ad513ce12f"/>
    <ds:schemaRef ds:uri="http://purl.org/dc/terms/"/>
  </ds:schemaRefs>
</ds:datastoreItem>
</file>

<file path=customXml/itemProps5.xml><?xml version="1.0" encoding="utf-8"?>
<ds:datastoreItem xmlns:ds="http://schemas.openxmlformats.org/officeDocument/2006/customXml" ds:itemID="{1DD80F4E-5BCB-47CE-9EA2-103709574A23}">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Staff Cost Worksheet II-La</vt:lpstr>
    </vt:vector>
  </TitlesOfParts>
  <Company>OSI Project</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CALS ADPQ RFO Cost Worksheets</dc:title>
  <dc:creator>Phillip Sanchez</dc:creator>
  <cp:lastModifiedBy>adeleon</cp:lastModifiedBy>
  <cp:revision/>
  <cp:lastPrinted>2016-08-26T18:04:54Z</cp:lastPrinted>
  <dcterms:created xsi:type="dcterms:W3CDTF">2007-12-07T17:00:09Z</dcterms:created>
  <dcterms:modified xsi:type="dcterms:W3CDTF">2016-09-16T15:09:44Z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0x0101000E07523BA78D584982DF6519A6CB90E0</vt:lpwstr>
  </property>
  <property fmtid="{D5CDD505-2E9C-101B-9397-08002B2CF9AE}" pid="3" name="Functional Area">
    <vt:lpwstr/>
  </property>
  <property fmtid="{D5CDD505-2E9C-101B-9397-08002B2CF9AE}" pid="4" name="Doc Category">
    <vt:lpwstr>322;#RFP 7.5|043f5426-d584-4ca2-910c-2015c58522a9</vt:lpwstr>
  </property>
  <property fmtid="{D5CDD505-2E9C-101B-9397-08002B2CF9AE}" pid="5" name="Doc Status">
    <vt:lpwstr>93;#Final|a28aace8-b750-4071-b01b-d78e3345f4df</vt:lpwstr>
  </property>
  <property fmtid="{D5CDD505-2E9C-101B-9397-08002B2CF9AE}" pid="6" name="osiProject">
    <vt:lpwstr/>
  </property>
  <property fmtid="{D5CDD505-2E9C-101B-9397-08002B2CF9AE}" pid="7" name="_dlc_DocIdItemGuid">
    <vt:lpwstr>ce88abf2-fd4c-4125-bb10-d533bf3b950f</vt:lpwstr>
  </property>
</Properties>
</file>